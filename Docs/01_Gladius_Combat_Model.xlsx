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547679f46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2c7c3618f224ab7"/>
    <x:sheet xmlns:r="http://schemas.openxmlformats.org/officeDocument/2006/relationships" name="Controls" sheetId="2" r:id="R12a4fda4abf44048"/>
    <x:sheet xmlns:r="http://schemas.openxmlformats.org/officeDocument/2006/relationships" name="Balance_Targets" sheetId="3" r:id="Rf1b39ced1d7e430c"/>
    <x:sheet xmlns:r="http://schemas.openxmlformats.org/officeDocument/2006/relationships" name="Classes" sheetId="4" r:id="R31c32af650ec43dc"/>
    <x:sheet xmlns:r="http://schemas.openxmlformats.org/officeDocument/2006/relationships" name="Equipment" sheetId="5" r:id="Rbf258d1808dc4d0f"/>
    <x:sheet xmlns:r="http://schemas.openxmlformats.org/officeDocument/2006/relationships" name="Skills" sheetId="6" r:id="R6289dde7ed714034"/>
    <x:sheet xmlns:r="http://schemas.openxmlformats.org/officeDocument/2006/relationships" name="Statuses" sheetId="7" r:id="R9b03d824e567481e"/>
    <x:sheet xmlns:r="http://schemas.openxmlformats.org/officeDocument/2006/relationships" name="Sample_Builds" sheetId="8" r:id="R26834c227721451e"/>
    <x:sheet xmlns:r="http://schemas.openxmlformats.org/officeDocument/2006/relationships" name="Combat_Calc" sheetId="9" r:id="Rbdb2de5b95294be7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3" authorId="0">
      <x:text>
        <x:r>
          <x:t>Base 70% hit chance for all offensive actions before stat deltas.</x:t>
        </x:r>
      </x:text>
    </x:comment>
    <x:comment ref="B11" authorId="0">
      <x:text>
        <x:r>
          <x:t>Base stamina regeneration per turn.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F28" authorId="0">
      <x:text>
        <x:r>
          <x:t>Expected damage = hit chance weighted average of normal and crit damage.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0.0"/>
  </x:numFmts>
  <x:fonts count="8">
    <x:font>
      <x:sz val="11"/>
      <x:color theme="1"/>
      <x:name val="Calibri"/>
      <x:family val="2"/>
      <x:scheme val="minor"/>
    </x:font>
    <x:font>
      <x:b/>
      <x:sz val="12"/>
      <x:color rgb="00FFFFFF"/>
      <x:name val="Calibri"/>
    </x:font>
    <x:font>
      <x:b/>
      <x:sz val="11"/>
      <x:color rgb="00000000"/>
      <x:name val="Calibri"/>
    </x:font>
    <x:font>
      <x:sz val="11"/>
      <x:color rgb="00000000"/>
      <x:name val="Calibri"/>
    </x:font>
    <x:font>
      <x:sz val="11"/>
      <x:color rgb="000000FF"/>
      <x:name val="Calibri"/>
    </x:font>
    <x:font>
      <x:sz val="11"/>
      <x:color rgb="00008000"/>
      <x:name val="Calibri"/>
    </x:font>
    <x:font>
      <x:sz val="11"/>
      <x:color rgb="00666666"/>
      <x:name val="Calibri"/>
    </x:font>
    <x:font>
      <x:sz val="11"/>
      <x:color rgb="00C659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CE4D6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Alignment="1">
      <x:alignment vertical="center" wrapText="1"/>
    </x:xf>
    <x:xf numFmtId="0" fontId="2" fillId="3" borderId="1" xfId="0" applyAlignment="1">
      <x:alignment vertical="center" wrapText="1"/>
    </x:xf>
    <x:xf numFmtId="0" fontId="3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0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7" fillId="4" borderId="0" xfId="0" applyAlignment="1">
      <x:alignment vertical="center" wrapText="1"/>
    </x:xf>
    <x:xf numFmtId="164" fontId="4" fillId="0" borderId="0" xfId="0" applyAlignment="1">
      <x:alignment vertical="center" wrapText="1"/>
    </x:xf>
    <x:xf numFmtId="165" fontId="4" fillId="0" borderId="0" xfId="0" applyAlignment="1">
      <x:alignment vertical="center" wrapText="1"/>
    </x:xf>
    <x:xf numFmtId="1" fontId="4" fillId="0" borderId="0" xfId="0" applyAlignment="1">
      <x:alignment vertical="center" wrapText="1"/>
    </x:xf>
    <x:xf numFmtId="1" fontId="3" fillId="0" borderId="0" xfId="0" applyAlignment="1">
      <x:alignment vertical="center" wrapText="1"/>
    </x:xf>
    <x:xf numFmtId="164" fontId="3" fillId="0" borderId="0" xfId="0" applyAlignment="1">
      <x:alignment vertical="center" wrapText="1"/>
    </x:xf>
    <x:xf numFmtId="49" fontId="3" fillId="0" borderId="0" xfId="0" applyAlignment="1">
      <x:alignment vertical="center" wrapText="1"/>
    </x:xf>
    <x:xf numFmtId="165" fontId="3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413fb79bb4974" /><Relationship Type="http://schemas.openxmlformats.org/officeDocument/2006/relationships/theme" Target="/xl/theme/theme1.xml" Id="Rabc115d20d8644fa" /><Relationship Type="http://schemas.openxmlformats.org/officeDocument/2006/relationships/sharedStrings" Target="/xl/sharedStrings.xml" Id="R65939cd656ed4660" /><Relationship Type="http://schemas.openxmlformats.org/officeDocument/2006/relationships/worksheet" Target="/xl/worksheets/sheet1.xml" Id="Rb2c7c3618f224ab7" /><Relationship Type="http://schemas.openxmlformats.org/officeDocument/2006/relationships/worksheet" Target="/xl/worksheets/sheet2.xml" Id="R12a4fda4abf44048" /><Relationship Type="http://schemas.openxmlformats.org/officeDocument/2006/relationships/worksheet" Target="/xl/worksheets/sheet3.xml" Id="Rf1b39ced1d7e430c" /><Relationship Type="http://schemas.openxmlformats.org/officeDocument/2006/relationships/worksheet" Target="/xl/worksheets/sheet4.xml" Id="R31c32af650ec43dc" /><Relationship Type="http://schemas.openxmlformats.org/officeDocument/2006/relationships/worksheet" Target="/xl/worksheets/sheet5.xml" Id="Rbf258d1808dc4d0f" /><Relationship Type="http://schemas.openxmlformats.org/officeDocument/2006/relationships/worksheet" Target="/xl/worksheets/sheet6.xml" Id="R6289dde7ed714034" /><Relationship Type="http://schemas.openxmlformats.org/officeDocument/2006/relationships/worksheet" Target="/xl/worksheets/sheet7.xml" Id="R9b03d824e567481e" /><Relationship Type="http://schemas.openxmlformats.org/officeDocument/2006/relationships/worksheet" Target="/xl/worksheets/sheet8.xml" Id="R26834c227721451e" /><Relationship Type="http://schemas.openxmlformats.org/officeDocument/2006/relationships/worksheet" Target="/xl/worksheets/sheet9.xml" Id="Rbdb2de5b95294be7" /><Relationship Type="http://schemas.microsoft.com/office/2017/10/relationships/person" Target="/xl/persons/person.xml" Id="R9143d22119814b78" /></Relationships>
</file>

<file path=xl/persons/person.xml><?xml version="1.0" encoding="utf-8"?>
<xltc:personList xmlns:xltc="http://schemas.microsoft.com/office/spreadsheetml/2018/threadedcomments">
  <xltc:person displayName="OpenAI" id="{E1D0835D-52A1-2593-457C-5A3E7BA8F720}"/>
  <xltc:person displayName="OpenAI" id="{AA35F367-7C6E-E54E-8385-A3A9D1B5894F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99be3229699451d" /><Relationship Type="http://schemas.openxmlformats.org/officeDocument/2006/relationships/vmlDrawing" Target="/xl/drawings/vmldrawing.vml" Id="R00dbf5fccb7e43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2.xml" Id="Re24bea7854e54f38" /><Relationship Type="http://schemas.openxmlformats.org/officeDocument/2006/relationships/vmlDrawing" Target="/xl/drawings/vmldrawing2.vml" Id="R102df0deeace44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78" customWidth="1"/>
    <x:col min="3" max="3" width="6" customWidth="1"/>
    <x:col min="4" max="4" width="6" customWidth="1"/>
    <x:col min="5" max="5" width="6" customWidth="1"/>
    <x:col min="6" max="6" width="6" customWidth="1"/>
    <x:col min="7" max="7" width="6" customWidth="1"/>
    <x:col min="8" max="8" width="6" customWidth="1"/>
  </x:cols>
  <x:sheetData>
    <x:row r="1" ht="24" customHeight="1">
      <x:c r="A1" s="1" t="inlineStr">
        <x:is>
          <x:t xml:space="preserve">GLADIUS COMBAT MODEL - FEED THIS TO CODEX FIRST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ht="32" customHeight="1">
      <x:c r="A2" s="2" t="inlineStr">
        <x:is>
          <x:t xml:space="preserve">Workbook purpose</x:t>
        </x:is>
      </x:c>
      <x:c r="B2" s="3" t="inlineStr">
        <x:is>
          <x:t xml:space="preserve">Authoritative combat formulas, starter content, and balance ranges for the first playable vertical slice.</x:t>
        </x:is>
      </x:c>
    </x:row>
    <x:row r="3" ht="32" customHeight="1">
      <x:c r="A3" s="2" t="inlineStr">
        <x:is>
          <x:t xml:space="preserve">Recommended order</x:t>
        </x:is>
      </x:c>
      <x:c r="B3" s="3" t="inlineStr">
        <x:is>
          <x:t xml:space="preserve">1) This workbook  2) Unity data schema document</x:t>
        </x:is>
      </x:c>
    </x:row>
    <x:row r="4">
      <x:c r="A4" s="4" t="n"/>
      <x:c r="B4" s="4" t="n"/>
      <x:c r="C4" s="4" t="n"/>
      <x:c r="D4" s="4" t="n"/>
      <x:c r="E4" s="4" t="n"/>
      <x:c r="F4" s="4" t="n"/>
      <x:c r="G4" s="4" t="n"/>
      <x:c r="H4" s="4" t="n"/>
    </x:row>
    <x:row r="5">
      <x:c r="A5" s="1" t="inlineStr">
        <x:is>
          <x:t xml:space="preserve">HOW CODEX SHOULD USE THIS WORKBOOK</x:t>
        </x:is>
      </x:c>
      <x:c r="B5" s="1" t="n"/>
      <x:c r="C5" s="1" t="n"/>
      <x:c r="D5" s="1" t="n"/>
      <x:c r="E5" s="1" t="n"/>
      <x:c r="F5" s="1" t="n"/>
      <x:c r="G5" s="1" t="n"/>
      <x:c r="H5" s="1" t="n"/>
    </x:row>
    <x:row r="6" ht="32" customHeight="1">
      <x:c r="A6" s="2" t="inlineStr">
        <x:is>
          <x:t xml:space="preserve">Sheet order</x:t>
        </x:is>
      </x:c>
      <x:c r="B6" s="3" t="inlineStr">
        <x:is>
          <x:t xml:space="preserve">README -&gt; Controls -&gt; Balance_Targets -&gt; Classes -&gt; Equipment -&gt; Skills -&gt; Statuses -&gt; Sample_Builds -&gt; Combat_Calc</x:t>
        </x:is>
      </x:c>
    </x:row>
    <x:row r="7" ht="32" customHeight="1">
      <x:c r="A7" s="2" t="inlineStr">
        <x:is>
          <x:t xml:space="preserve">Do not change</x:t>
        </x:is>
      </x:c>
      <x:c r="B7" s="3" t="inlineStr">
        <x:is>
          <x:t xml:space="preserve">Global control names, IDs, and formulas without updating all dependent content.</x:t>
        </x:is>
      </x:c>
    </x:row>
    <x:row r="8" ht="32" customHeight="1">
      <x:c r="A8" s="2" t="inlineStr">
        <x:is>
          <x:t xml:space="preserve">Primary goal</x:t>
        </x:is>
      </x:c>
      <x:c r="B8" s="3" t="inlineStr">
        <x:is>
          <x:t xml:space="preserve">Build the first 1v1 battle loop from data files instead of hardcoded numbers.</x:t>
        </x:is>
      </x:c>
    </x:row>
    <x:row r="9" ht="32" customHeight="1">
      <x:c r="A9" s="2" t="inlineStr">
        <x:is>
          <x:t xml:space="preserve">Starter scenario</x:t>
        </x:is>
      </x:c>
      <x:c r="B9" s="3" t="inlineStr">
        <x:is>
          <x:t xml:space="preserve">RET_STARTER (Retiarius) vs SEC_STARTER (Secutor).</x:t>
        </x:is>
      </x:c>
    </x:row>
    <x:row r="10" ht="32" customHeight="1">
      <x:c r="A10" s="2" t="inlineStr">
        <x:is>
          <x:t xml:space="preserve">Implementation rule</x:t>
        </x:is>
      </x:c>
      <x:c r="B10" s="3" t="inlineStr">
        <x:is>
          <x:t xml:space="preserve">Treat percentages as decimals in code (0.70 = 70%).</x:t>
        </x:is>
      </x:c>
    </x:row>
    <x:row r="11">
      <x:c r="A11" s="4" t="n"/>
      <x:c r="B11" s="4" t="n"/>
      <x:c r="C11" s="4" t="n"/>
      <x:c r="D11" s="4" t="n"/>
      <x:c r="E11" s="4" t="n"/>
      <x:c r="F11" s="4" t="n"/>
      <x:c r="G11" s="4" t="n"/>
      <x:c r="H11" s="4" t="n"/>
    </x:row>
    <x:row r="12" ht="22" customHeight="1">
      <x:c r="A12" s="1" t="inlineStr">
        <x:is>
          <x:t xml:space="preserve">COLOR KEY</x:t>
        </x:is>
      </x:c>
      <x:c r="B12" s="1" t="n"/>
      <x:c r="C12" s="1" t="n"/>
      <x:c r="D12" s="1" t="n"/>
      <x:c r="E12" s="1" t="n"/>
      <x:c r="F12" s="1" t="n"/>
      <x:c r="G12" s="1" t="n"/>
      <x:c r="H12" s="1" t="n"/>
    </x:row>
    <x:row r="13">
      <x:c r="A13" s="5" t="inlineStr">
        <x:is>
          <x:t xml:space="preserve">Blue text</x:t>
        </x:is>
      </x:c>
      <x:c r="B13" s="3" t="inlineStr">
        <x:is>
          <x:t xml:space="preserve">Editable input / balance value</x:t>
        </x:is>
      </x:c>
      <x:c r="C13" s="4" t="n"/>
      <x:c r="D13" s="4" t="n"/>
      <x:c r="E13" s="4" t="n"/>
      <x:c r="F13" s="4" t="n"/>
      <x:c r="G13" s="4" t="n"/>
      <x:c r="H13" s="4" t="n"/>
    </x:row>
    <x:row r="14">
      <x:c r="A14" s="3" t="inlineStr">
        <x:is>
          <x:t xml:space="preserve">Black text</x:t>
        </x:is>
      </x:c>
      <x:c r="B14" s="3" t="inlineStr">
        <x:is>
          <x:t xml:space="preserve">Formula / derived output</x:t>
        </x:is>
      </x:c>
      <x:c r="C14" s="4" t="n"/>
      <x:c r="D14" s="4" t="n"/>
      <x:c r="E14" s="4" t="n"/>
      <x:c r="F14" s="4" t="n"/>
      <x:c r="G14" s="4" t="n"/>
      <x:c r="H14" s="4" t="n"/>
    </x:row>
    <x:row r="15">
      <x:c r="A15" s="6" t="inlineStr">
        <x:is>
          <x:t xml:space="preserve">Green text</x:t>
        </x:is>
      </x:c>
      <x:c r="B15" s="3" t="inlineStr">
        <x:is>
          <x:t xml:space="preserve">Linked lookup from other sheets</x:t>
        </x:is>
      </x:c>
      <x:c r="C15" s="4" t="n"/>
      <x:c r="D15" s="4" t="n"/>
      <x:c r="E15" s="4" t="n"/>
      <x:c r="F15" s="4" t="n"/>
      <x:c r="G15" s="4" t="n"/>
      <x:c r="H15" s="4" t="n"/>
    </x:row>
    <x:row r="16">
      <x:c r="A16" s="7" t="inlineStr">
        <x:is>
          <x:t xml:space="preserve">Gray text</x:t>
        </x:is>
      </x:c>
      <x:c r="B16" s="3" t="inlineStr">
        <x:is>
          <x:t xml:space="preserve">Static note / label / constant description</x:t>
        </x:is>
      </x:c>
      <x:c r="C16" s="4" t="n"/>
      <x:c r="D16" s="4" t="n"/>
      <x:c r="E16" s="4" t="n"/>
      <x:c r="F16" s="4" t="n"/>
      <x:c r="G16" s="4" t="n"/>
      <x:c r="H16" s="4" t="n"/>
    </x:row>
    <x:row r="17">
      <x:c r="A17" s="8" t="inlineStr">
        <x:is>
          <x:t xml:space="preserve">Orange fill</x:t>
        </x:is>
      </x:c>
      <x:c r="B17" s="3" t="inlineStr">
        <x:is>
          <x:t xml:space="preserve">Review note / implementation caution</x:t>
        </x:is>
      </x:c>
      <x:c r="C17" s="4" t="n"/>
      <x:c r="D17" s="4" t="n"/>
      <x:c r="E17" s="4" t="n"/>
      <x:c r="F17" s="4" t="n"/>
      <x:c r="G17" s="4" t="n"/>
      <x:c r="H17" s="4" t="n"/>
    </x:row>
    <x:row r="18">
      <x:c r="A18" s="4" t="n"/>
      <x:c r="B18" s="4" t="n"/>
      <x:c r="C18" s="4" t="n"/>
      <x:c r="D18" s="4" t="n"/>
      <x:c r="E18" s="4" t="n"/>
      <x:c r="F18" s="4" t="n"/>
      <x:c r="G18" s="4" t="n"/>
      <x:c r="H18" s="4" t="n"/>
    </x:row>
    <x:row r="19" ht="32" customHeight="1">
      <x:c r="A19" s="9" t="inlineStr">
        <x:is>
          <x:t xml:space="preserve">The Combat_Calc sheet is the single best test harness for the first Codex prompt. It proves all starter IDs, formulas, and derived values can round-trip from data into battle math.</x:t>
        </x:is>
      </x:c>
    </x:row>
  </x:sheetData>
  <x:mergeCells>
    <x:mergeCell ref="B8:H8"/>
    <x:mergeCell ref="B9:H9"/>
    <x:mergeCell ref="B6:H6"/>
    <x:mergeCell ref="B2:H2"/>
    <x:mergeCell ref="A19:H19"/>
    <x:mergeCell ref="B7:H7"/>
    <x:mergeCell ref="B10:H10"/>
    <x:mergeCell ref="B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6" customWidth="1"/>
    <x:col min="3" max="3" width="70" customWidth="1"/>
    <x:col min="4" max="4" width="10" customWidth="1"/>
    <x:col min="5" max="5" width="10" customWidth="1"/>
  </x:cols>
  <x:sheetData>
    <x:row r="1">
      <x:c r="A1" s="1" t="inlineStr">
        <x:is>
          <x:t xml:space="preserve">GLOBAL COMBAT CONTROLS</x:t>
        </x:is>
      </x:c>
      <x:c r="B1" s="1" t="n"/>
      <x:c r="C1" s="1" t="n"/>
      <x:c r="D1" s="1" t="n"/>
      <x:c r="E1" s="1" t="n"/>
    </x:row>
    <x:row r="2">
      <x:c r="A2" s="2" t="inlineStr">
        <x:is>
          <x:t xml:space="preserve">ControlID</x:t>
        </x:is>
      </x:c>
      <x:c r="B2" s="2" t="inlineStr">
        <x:is>
          <x:t xml:space="preserve">Value</x:t>
        </x:is>
      </x:c>
      <x:c r="C2" s="2" t="inlineStr">
        <x:is>
          <x:t xml:space="preserve">Description</x:t>
        </x:is>
      </x:c>
      <x:c r="D2" s="4" t="n"/>
      <x:c r="E2" s="4" t="n"/>
    </x:row>
    <x:row r="3" ht="26" customHeight="1">
      <x:c r="A3" s="7" t="inlineStr">
        <x:is>
          <x:t xml:space="preserve">BaseHitChance</x:t>
        </x:is>
      </x:c>
      <x:c r="B3" s="10" t="n">
        <x:v>0.7</x:v>
      </x:c>
      <x:c r="C3" s="3" t="inlineStr">
        <x:is>
          <x:t xml:space="preserve">Base accuracy before stat delta.</x:t>
        </x:is>
      </x:c>
    </x:row>
    <x:row r="4" ht="26" customHeight="1">
      <x:c r="A4" s="7" t="inlineStr">
        <x:is>
          <x:t xml:space="preserve">HitDeltaPerPoint</x:t>
        </x:is>
      </x:c>
      <x:c r="B4" s="10" t="n">
        <x:v>0.02</x:v>
      </x:c>
      <x:c r="C4" s="3" t="inlineStr">
        <x:is>
          <x:t xml:space="preserve">Each point of (attacker accuracy stat - defender SPD) shifts hit chance by 2%.</x:t>
        </x:is>
      </x:c>
    </x:row>
    <x:row r="5" ht="26" customHeight="1">
      <x:c r="A5" s="7" t="inlineStr">
        <x:is>
          <x:t xml:space="preserve">MinHitChance</x:t>
        </x:is>
      </x:c>
      <x:c r="B5" s="10" t="n">
        <x:v>0.1</x:v>
      </x:c>
      <x:c r="C5" s="3" t="inlineStr">
        <x:is>
          <x:t xml:space="preserve">Lower clamp for hit chance.</x:t>
        </x:is>
      </x:c>
    </x:row>
    <x:row r="6" ht="26" customHeight="1">
      <x:c r="A6" s="7" t="inlineStr">
        <x:is>
          <x:t xml:space="preserve">MaxHitChance</x:t>
        </x:is>
      </x:c>
      <x:c r="B6" s="10" t="n">
        <x:v>0.95</x:v>
      </x:c>
      <x:c r="C6" s="3" t="inlineStr">
        <x:is>
          <x:t xml:space="preserve">Upper clamp for hit chance.</x:t>
        </x:is>
      </x:c>
    </x:row>
    <x:row r="7" ht="26" customHeight="1">
      <x:c r="A7" s="7" t="inlineStr">
        <x:is>
          <x:t xml:space="preserve">DodgeBonusIfDefenderSpdLeadGTE5</x:t>
        </x:is>
      </x:c>
      <x:c r="B7" s="10" t="n">
        <x:v>0.15</x:v>
      </x:c>
      <x:c r="C7" s="3" t="inlineStr">
        <x:is>
          <x:t xml:space="preserve">Extra dodge penalty if defender SPD leads attacker SPD by 5 or more.</x:t>
        </x:is>
      </x:c>
    </x:row>
    <x:row r="8" ht="26" customHeight="1">
      <x:c r="A8" s="7" t="inlineStr">
        <x:is>
          <x:t xml:space="preserve">BaseCritChance</x:t>
        </x:is>
      </x:c>
      <x:c r="B8" s="10" t="n">
        <x:v>0.05</x:v>
      </x:c>
      <x:c r="C8" s="3" t="inlineStr">
        <x:is>
          <x:t xml:space="preserve">Base critical chance.</x:t>
        </x:is>
      </x:c>
    </x:row>
    <x:row r="9" ht="26" customHeight="1">
      <x:c r="A9" s="7" t="inlineStr">
        <x:is>
          <x:t xml:space="preserve">CritPerSKL</x:t>
        </x:is>
      </x:c>
      <x:c r="B9" s="10" t="n">
        <x:v>0.01</x:v>
      </x:c>
      <x:c r="C9" s="3" t="inlineStr">
        <x:is>
          <x:t xml:space="preserve">Each point of SKL adds 1% crit.</x:t>
        </x:is>
      </x:c>
    </x:row>
    <x:row r="10" ht="26" customHeight="1">
      <x:c r="A10" s="7" t="inlineStr">
        <x:is>
          <x:t xml:space="preserve">CritChanceCap</x:t>
        </x:is>
      </x:c>
      <x:c r="B10" s="10" t="n">
        <x:v>0.5</x:v>
      </x:c>
      <x:c r="C10" s="3" t="inlineStr">
        <x:is>
          <x:t xml:space="preserve">Absolute crit cap.</x:t>
        </x:is>
      </x:c>
    </x:row>
    <x:row r="11" ht="26" customHeight="1">
      <x:c r="A11" s="7" t="inlineStr">
        <x:is>
          <x:t xml:space="preserve">CritMultiplier</x:t>
        </x:is>
      </x:c>
      <x:c r="B11" s="11" t="n">
        <x:v>2</x:v>
      </x:c>
      <x:c r="C11" s="3" t="inlineStr">
        <x:is>
          <x:t xml:space="preserve">Critical damage multiplier.</x:t>
        </x:is>
      </x:c>
    </x:row>
    <x:row r="12" ht="26" customHeight="1">
      <x:c r="A12" s="7" t="inlineStr">
        <x:is>
          <x:t xml:space="preserve">MinDamage</x:t>
        </x:is>
      </x:c>
      <x:c r="B12" s="12" t="n">
        <x:v>1</x:v>
      </x:c>
      <x:c r="C12" s="3" t="inlineStr">
        <x:is>
          <x:t xml:space="preserve">Minimum damage after mitigation.</x:t>
        </x:is>
      </x:c>
    </x:row>
    <x:row r="13" ht="26" customHeight="1">
      <x:c r="A13" s="7" t="inlineStr">
        <x:is>
          <x:t xml:space="preserve">BaseStaminaRegen</x:t>
        </x:is>
      </x:c>
      <x:c r="B13" s="12" t="n">
        <x:v>2</x:v>
      </x:c>
      <x:c r="C13" s="3" t="inlineStr">
        <x:is>
          <x:t xml:space="preserve">STA restored at start of turn.</x:t>
        </x:is>
      </x:c>
    </x:row>
    <x:row r="14" ht="26" customHeight="1">
      <x:c r="A14" s="7" t="inlineStr">
        <x:is>
          <x:t xml:space="preserve">RecoverBonusStamina</x:t>
        </x:is>
      </x:c>
      <x:c r="B14" s="12" t="n">
        <x:v>2</x:v>
      </x:c>
      <x:c r="C14" s="3" t="inlineStr">
        <x:is>
          <x:t xml:space="preserve">Extra STA granted by Recover.</x:t>
        </x:is>
      </x:c>
    </x:row>
    <x:row r="15" ht="26" customHeight="1">
      <x:c r="A15" s="7" t="inlineStr">
        <x:is>
          <x:t xml:space="preserve">DefendBonusDEF</x:t>
        </x:is>
      </x:c>
      <x:c r="B15" s="12" t="n">
        <x:v>2</x:v>
      </x:c>
      <x:c r="C15" s="3" t="inlineStr">
        <x:is>
          <x:t xml:space="preserve">Temporary DEF gained by Defend until the defender's next action.</x:t>
        </x:is>
      </x:c>
    </x:row>
    <x:row r="16" ht="26" customHeight="1">
      <x:c r="A16" s="7" t="inlineStr">
        <x:is>
          <x:t xml:space="preserve">ExhaustedAtkPenalty</x:t>
        </x:is>
      </x:c>
      <x:c r="B16" s="12" t="n">
        <x:v>-2</x:v>
      </x:c>
      <x:c r="C16" s="3" t="inlineStr">
        <x:is>
          <x:t xml:space="preserve">ATK penalty while Exhausted.</x:t>
        </x:is>
      </x:c>
    </x:row>
    <x:row r="17" ht="26" customHeight="1">
      <x:c r="A17" s="7" t="inlineStr">
        <x:is>
          <x:t xml:space="preserve">ExhaustedSpdPenalty</x:t>
        </x:is>
      </x:c>
      <x:c r="B17" s="12" t="n">
        <x:v>-2</x:v>
      </x:c>
      <x:c r="C17" s="3" t="inlineStr">
        <x:is>
          <x:t xml:space="preserve">SPD penalty while Exhausted.</x:t>
        </x:is>
      </x:c>
    </x:row>
    <x:row r="18" ht="26" customHeight="1">
      <x:c r="A18" s="7" t="inlineStr">
        <x:is>
          <x:t xml:space="preserve">ExhaustedStaRegenPenalty</x:t>
        </x:is>
      </x:c>
      <x:c r="B18" s="12" t="n">
        <x:v>-1</x:v>
      </x:c>
      <x:c r="C18" s="3" t="inlineStr">
        <x:is>
          <x:t xml:space="preserve">STA regen penalty while Exhausted.</x:t>
        </x:is>
      </x:c>
    </x:row>
    <x:row r="19" ht="26" customHeight="1">
      <x:c r="A19" s="7" t="inlineStr">
        <x:is>
          <x:t xml:space="preserve">BleedDamagePerTurn</x:t>
        </x:is>
      </x:c>
      <x:c r="B19" s="12" t="n">
        <x:v>2</x:v>
      </x:c>
      <x:c r="C19" s="3" t="inlineStr">
        <x:is>
          <x:t xml:space="preserve">End-of-turn HP loss while Bleeding.</x:t>
        </x:is>
      </x:c>
    </x:row>
    <x:row r="20">
      <x:c r="A20" s="4" t="n"/>
      <x:c r="B20" s="4" t="n"/>
      <x:c r="C20" s="4" t="n"/>
      <x:c r="D20" s="4" t="n"/>
      <x:c r="E20" s="4" t="n"/>
    </x:row>
    <x:row r="21">
      <x:c r="A21" s="4" t="n"/>
      <x:c r="B21" s="4" t="n"/>
      <x:c r="C21" s="4" t="n"/>
      <x:c r="D21" s="4" t="n"/>
      <x:c r="E21" s="4" t="n"/>
    </x:row>
    <x:row r="22">
      <x:c r="A22" s="1" t="inlineStr">
        <x:is>
          <x:t xml:space="preserve">AUTHORITATIVE FORMULAS (REFERENCE TEXT)</x:t>
        </x:is>
      </x:c>
      <x:c r="B22" s="1" t="n"/>
      <x:c r="C22" s="1" t="n"/>
      <x:c r="D22" s="1" t="n"/>
      <x:c r="E22" s="1" t="n"/>
    </x:row>
    <x:row r="23" ht="42" customHeight="1">
      <x:c r="A23" s="2" t="inlineStr">
        <x:is>
          <x:t xml:space="preserve">HitChance</x:t>
        </x:is>
      </x:c>
      <x:c r="B23" s="3" t="inlineStr">
        <x:is>
          <x:t xml:space="preserve">CLAMP(BaseHitChance + (AttackerATK - DefenderSPD) * HitDeltaPerPoint + SkillAccuracyModPct + ConditionalEquipmentHitModPct - IF(DefenderSPD - AttackerSPD &gt;= 5, DodgeBonusIfDefenderSpdLeadGTE5, 0), MinHitChance, MaxHitChance)</x:t>
        </x:is>
      </x:c>
    </x:row>
    <x:row r="24" ht="42" customHeight="1">
      <x:c r="A24" s="2" t="inlineStr">
        <x:is>
          <x:t xml:space="preserve">CritChance</x:t>
        </x:is>
      </x:c>
      <x:c r="B24" s="3" t="inlineStr">
        <x:is>
          <x:t xml:space="preserve">MIN(CritChanceCap, BaseCritChance + AttackerSKL * CritPerSKL + SkillCritBonusPct + TotalEquipmentCritModPct)</x:t>
        </x:is>
      </x:c>
    </x:row>
    <x:row r="25" ht="42" customHeight="1">
      <x:c r="A25" s="2" t="inlineStr">
        <x:is>
          <x:t xml:space="preserve">BaseDamage</x:t>
        </x:is>
      </x:c>
      <x:c r="B25" s="3" t="inlineStr">
        <x:is>
          <x:t xml:space="preserve">MAX(MinDamage, AttackerATK + SkillFlatDamage - (DefenderDEF + DefenderTemporaryDefBonus))</x:t>
        </x:is>
      </x:c>
    </x:row>
    <x:row r="26" ht="42" customHeight="1">
      <x:c r="A26" s="2" t="inlineStr">
        <x:is>
          <x:t xml:space="preserve">CritDamage</x:t>
        </x:is>
      </x:c>
      <x:c r="B26" s="3" t="inlineStr">
        <x:is>
          <x:t xml:space="preserve">BaseDamage * CritMultiplier</x:t>
        </x:is>
      </x:c>
    </x:row>
    <x:row r="27" ht="42" customHeight="1">
      <x:c r="A27" s="2" t="inlineStr">
        <x:is>
          <x:t xml:space="preserve">ExpectedDamage</x:t>
        </x:is>
      </x:c>
      <x:c r="B27" s="3" t="inlineStr">
        <x:is>
          <x:t xml:space="preserve">HitChance * (BaseDamage * (1 - CritChance) + CritDamage * CritChance)</x:t>
        </x:is>
      </x:c>
    </x:row>
    <x:row r="28" ht="42" customHeight="1">
      <x:c r="A28" s="2" t="inlineStr">
        <x:is>
          <x:t xml:space="preserve">StartOfTurnSTA</x:t>
        </x:is>
      </x:c>
      <x:c r="B28" s="3" t="inlineStr">
        <x:is>
          <x:t xml:space="preserve">MIN(MaxSTA, CurrentSTA + BaseStaminaRegen + StatusStaRegenMod)</x:t>
        </x:is>
      </x:c>
    </x:row>
    <x:row r="29" ht="42" customHeight="1">
      <x:c r="A29" s="2" t="inlineStr">
        <x:is>
          <x:t xml:space="preserve">RecoverResultSTA</x:t>
        </x:is>
      </x:c>
      <x:c r="B29" s="3" t="inlineStr">
        <x:is>
          <x:t xml:space="preserve">MIN(MaxSTA, StartOfTurnSTA + RecoverBonusStamina)</x:t>
        </x:is>
      </x:c>
    </x:row>
    <x:row r="30">
      <x:c r="A30" s="4" t="n"/>
      <x:c r="B30" s="4" t="n"/>
      <x:c r="C30" s="4" t="n"/>
      <x:c r="D30" s="4" t="n"/>
      <x:c r="E30" s="4" t="n"/>
    </x:row>
    <x:row r="31" ht="34" customHeight="1">
      <x:c r="A31" s="9" t="inlineStr">
        <x:is>
          <x:t xml:space="preserve">SkillAccuracyModPct and equipment hit modifiers are direct percentage-point adjustments to hit chance. Example: +0.10 = +10 percentage points.</x:t>
        </x:is>
      </x:c>
    </x:row>
  </x:sheetData>
  <x:mergeCells>
    <x:mergeCell ref="C16:E16"/>
    <x:mergeCell ref="C9:E9"/>
    <x:mergeCell ref="B24:E24"/>
    <x:mergeCell ref="C12:E12"/>
    <x:mergeCell ref="B26:E26"/>
    <x:mergeCell ref="C11:E11"/>
    <x:mergeCell ref="C8:E8"/>
    <x:mergeCell ref="B25:E25"/>
    <x:mergeCell ref="C17:E17"/>
    <x:mergeCell ref="C7:E7"/>
    <x:mergeCell ref="B27:E27"/>
    <x:mergeCell ref="C13:E13"/>
    <x:mergeCell ref="C19:E19"/>
    <x:mergeCell ref="C18:E18"/>
    <x:mergeCell ref="C3:E3"/>
    <x:mergeCell ref="C15:E15"/>
    <x:mergeCell ref="C6:E6"/>
    <x:mergeCell ref="B23:E23"/>
    <x:mergeCell ref="C14:E14"/>
    <x:mergeCell ref="C5:E5"/>
    <x:mergeCell ref="B29:E29"/>
    <x:mergeCell ref="C4:E4"/>
    <x:mergeCell ref="A31:E31"/>
    <x:mergeCell ref="B28:E28"/>
    <x:mergeCell ref="C10:E10"/>
  </x:mergeCells>
  <x:pageMargins left="0.7" right="0.7" top="0.75" bottom="0.75" header="0.3" footer="0.3"/>
  <x:legacyDrawing xmlns:r="http://schemas.openxmlformats.org/officeDocument/2006/relationships" r:id="R00dbf5fccb7e434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8" customWidth="1"/>
    <x:col min="3" max="3" width="18" customWidth="1"/>
    <x:col min="4" max="4" width="18" customWidth="1"/>
    <x:col min="5" max="5" width="42" customWidth="1"/>
  </x:cols>
  <x:sheetData>
    <x:row r="1">
      <x:c r="A1" s="1" t="inlineStr">
        <x:is>
          <x:t xml:space="preserve">EARLY PRODUCTION BALANCE RANGES</x:t>
        </x:is>
      </x:c>
      <x:c r="B1" s="1" t="n"/>
      <x:c r="C1" s="1" t="n"/>
      <x:c r="D1" s="1" t="n"/>
      <x:c r="E1" s="1" t="n"/>
    </x:row>
    <x:row r="2">
      <x:c r="A2" s="2" t="inlineStr">
        <x:is>
          <x:t xml:space="preserve">Metric</x:t>
        </x:is>
      </x:c>
      <x:c r="B2" s="2" t="inlineStr">
        <x:is>
          <x:t xml:space="preserve">Tier 1 (Starter)</x:t>
        </x:is>
      </x:c>
      <x:c r="C2" s="2" t="inlineStr">
        <x:is>
          <x:t xml:space="preserve">Tier 2</x:t>
        </x:is>
      </x:c>
      <x:c r="D2" s="2" t="inlineStr">
        <x:is>
          <x:t xml:space="preserve">Tier 3</x:t>
        </x:is>
      </x:c>
      <x:c r="E2" s="2" t="inlineStr">
        <x:is>
          <x:t xml:space="preserve">Notes</x:t>
        </x:is>
      </x:c>
    </x:row>
    <x:row r="3" ht="24" customHeight="1">
      <x:c r="A3" s="7" t="inlineStr">
        <x:is>
          <x:t xml:space="preserve">HP</x:t>
        </x:is>
      </x:c>
      <x:c r="B3" s="3" t="inlineStr">
        <x:is>
          <x:t xml:space="preserve">20-28</x:t>
        </x:is>
      </x:c>
      <x:c r="C3" s="3" t="inlineStr">
        <x:is>
          <x:t xml:space="preserve">26-34</x:t>
        </x:is>
      </x:c>
      <x:c r="D3" s="3" t="inlineStr">
        <x:is>
          <x:t xml:space="preserve">32-40</x:t>
        </x:is>
      </x:c>
      <x:c r="E3" s="3" t="inlineStr">
        <x:is>
          <x:t xml:space="preserve">Starter roster should not exceed 28 HP.</x:t>
        </x:is>
      </x:c>
    </x:row>
    <x:row r="4" ht="24" customHeight="1">
      <x:c r="A4" s="7" t="inlineStr">
        <x:is>
          <x:t xml:space="preserve">STA</x:t>
        </x:is>
      </x:c>
      <x:c r="B4" s="3" t="inlineStr">
        <x:is>
          <x:t xml:space="preserve">8-10</x:t>
        </x:is>
      </x:c>
      <x:c r="C4" s="3" t="inlineStr">
        <x:is>
          <x:t xml:space="preserve">9-12</x:t>
        </x:is>
      </x:c>
      <x:c r="D4" s="3" t="inlineStr">
        <x:is>
          <x:t xml:space="preserve">10-14</x:t>
        </x:is>
      </x:c>
      <x:c r="E4" s="3" t="inlineStr">
        <x:is>
          <x:t xml:space="preserve">Most 1v1 fights should involve real stamina choices by round 3.</x:t>
        </x:is>
      </x:c>
    </x:row>
    <x:row r="5" ht="24" customHeight="1">
      <x:c r="A5" s="7" t="inlineStr">
        <x:is>
          <x:t xml:space="preserve">ATK</x:t>
        </x:is>
      </x:c>
      <x:c r="B5" s="3" t="inlineStr">
        <x:is>
          <x:t xml:space="preserve">6-8</x:t>
        </x:is>
      </x:c>
      <x:c r="C5" s="3" t="inlineStr">
        <x:is>
          <x:t xml:space="preserve">7-10</x:t>
        </x:is>
      </x:c>
      <x:c r="D5" s="3" t="inlineStr">
        <x:is>
          <x:t xml:space="preserve">9-12</x:t>
        </x:is>
      </x:c>
      <x:c r="E5" s="3" t="inlineStr">
        <x:is>
          <x:t xml:space="preserve">Basic attacks remain relevant at all tiers.</x:t>
        </x:is>
      </x:c>
    </x:row>
    <x:row r="6" ht="24" customHeight="1">
      <x:c r="A6" s="7" t="inlineStr">
        <x:is>
          <x:t xml:space="preserve">DEF</x:t>
        </x:is>
      </x:c>
      <x:c r="B6" s="3" t="inlineStr">
        <x:is>
          <x:t xml:space="preserve">3-8</x:t>
        </x:is>
      </x:c>
      <x:c r="C6" s="3" t="inlineStr">
        <x:is>
          <x:t xml:space="preserve">4-10</x:t>
        </x:is>
      </x:c>
      <x:c r="D6" s="3" t="inlineStr">
        <x:is>
          <x:t xml:space="preserve">5-12</x:t>
        </x:is>
      </x:c>
      <x:c r="E6" s="3" t="inlineStr">
        <x:is>
          <x:t xml:space="preserve">High DEF must trade away SPD or SKL.</x:t>
        </x:is>
      </x:c>
    </x:row>
    <x:row r="7" ht="24" customHeight="1">
      <x:c r="A7" s="7" t="inlineStr">
        <x:is>
          <x:t xml:space="preserve">SPD</x:t>
        </x:is>
      </x:c>
      <x:c r="B7" s="3" t="inlineStr">
        <x:is>
          <x:t xml:space="preserve">3-8</x:t>
        </x:is>
      </x:c>
      <x:c r="C7" s="3" t="inlineStr">
        <x:is>
          <x:t xml:space="preserve">4-9</x:t>
        </x:is>
      </x:c>
      <x:c r="D7" s="3" t="inlineStr">
        <x:is>
          <x:t xml:space="preserve">5-10</x:t>
        </x:is>
      </x:c>
      <x:c r="E7" s="3" t="inlineStr">
        <x:is>
          <x:t xml:space="preserve">Fast units win tempo; do not combine top SPD with top DEF.</x:t>
        </x:is>
      </x:c>
    </x:row>
    <x:row r="8" ht="24" customHeight="1">
      <x:c r="A8" s="7" t="inlineStr">
        <x:is>
          <x:t xml:space="preserve">SKL</x:t>
        </x:is>
      </x:c>
      <x:c r="B8" s="3" t="inlineStr">
        <x:is>
          <x:t xml:space="preserve">4-8</x:t>
        </x:is>
      </x:c>
      <x:c r="C8" s="3" t="inlineStr">
        <x:is>
          <x:t xml:space="preserve">5-9</x:t>
        </x:is>
      </x:c>
      <x:c r="D8" s="3" t="inlineStr">
        <x:is>
          <x:t xml:space="preserve">6-10</x:t>
        </x:is>
      </x:c>
      <x:c r="E8" s="3" t="inlineStr">
        <x:is>
          <x:t xml:space="preserve">SKL drives crit and some class identity.</x:t>
        </x:is>
      </x:c>
    </x:row>
    <x:row r="9" ht="24" customHeight="1">
      <x:c r="A9" s="7" t="inlineStr">
        <x:is>
          <x:t xml:space="preserve">Basic Hit Chance</x:t>
        </x:is>
      </x:c>
      <x:c r="B9" s="3" t="inlineStr">
        <x:is>
          <x:t xml:space="preserve">55%-80%</x:t>
        </x:is>
      </x:c>
      <x:c r="C9" s="3" t="inlineStr">
        <x:is>
          <x:t xml:space="preserve">55%-85%</x:t>
        </x:is>
      </x:c>
      <x:c r="D9" s="3" t="inlineStr">
        <x:is>
          <x:t xml:space="preserve">60%-90%</x:t>
        </x:is>
      </x:c>
      <x:c r="E9" s="3" t="inlineStr">
        <x:is>
          <x:t xml:space="preserve">Outside this range, fights become swingy or dull.</x:t>
        </x:is>
      </x:c>
    </x:row>
    <x:row r="10" ht="24" customHeight="1">
      <x:c r="A10" s="7" t="inlineStr">
        <x:is>
          <x:t xml:space="preserve">Basic Damage on Hit</x:t>
        </x:is>
      </x:c>
      <x:c r="B10" s="3" t="inlineStr">
        <x:is>
          <x:t xml:space="preserve">2-6</x:t>
        </x:is>
      </x:c>
      <x:c r="C10" s="3" t="inlineStr">
        <x:is>
          <x:t xml:space="preserve">3-8</x:t>
        </x:is>
      </x:c>
      <x:c r="D10" s="3" t="inlineStr">
        <x:is>
          <x:t xml:space="preserve">4-10</x:t>
        </x:is>
      </x:c>
      <x:c r="E10" s="3" t="inlineStr">
        <x:is>
          <x:t xml:space="preserve">Calculated before crit.</x:t>
        </x:is>
      </x:c>
    </x:row>
    <x:row r="11" ht="24" customHeight="1">
      <x:c r="A11" s="7" t="inlineStr">
        <x:is>
          <x:t xml:space="preserve">Crit Chance</x:t>
        </x:is>
      </x:c>
      <x:c r="B11" s="3" t="inlineStr">
        <x:is>
          <x:t xml:space="preserve">10%-20%</x:t>
        </x:is>
      </x:c>
      <x:c r="C11" s="3" t="inlineStr">
        <x:is>
          <x:t xml:space="preserve">12%-25%</x:t>
        </x:is>
      </x:c>
      <x:c r="D11" s="3" t="inlineStr">
        <x:is>
          <x:t xml:space="preserve">15%-30%</x:t>
        </x:is>
      </x:c>
      <x:c r="E11" s="3" t="inlineStr">
        <x:is>
          <x:t xml:space="preserve">Use crit cap to prevent burst spikes.</x:t>
        </x:is>
      </x:c>
    </x:row>
    <x:row r="12" ht="24" customHeight="1">
      <x:c r="A12" s="7" t="inlineStr">
        <x:is>
          <x:t xml:space="preserve">Average Fight Length</x:t>
        </x:is>
      </x:c>
      <x:c r="B12" s="3" t="inlineStr">
        <x:is>
          <x:t xml:space="preserve">4-7 rounds</x:t>
        </x:is>
      </x:c>
      <x:c r="C12" s="3" t="inlineStr">
        <x:is>
          <x:t xml:space="preserve">4-8 rounds</x:t>
        </x:is>
      </x:c>
      <x:c r="D12" s="3" t="inlineStr">
        <x:is>
          <x:t xml:space="preserve">5-9 rounds</x:t>
        </x:is>
      </x:c>
      <x:c r="E12" s="3" t="inlineStr">
        <x:is>
          <x:t xml:space="preserve">Starter duel target = 5 to 6 rounds.</x:t>
        </x:is>
      </x:c>
    </x:row>
    <x:row r="13" ht="24" customHeight="1">
      <x:c r="A13" s="7" t="inlineStr">
        <x:is>
          <x:t xml:space="preserve">Status Uptime</x:t>
        </x:is>
      </x:c>
      <x:c r="B13" s="3" t="inlineStr">
        <x:is>
          <x:t xml:space="preserve">20%-35%</x:t>
        </x:is>
      </x:c>
      <x:c r="C13" s="3" t="inlineStr">
        <x:is>
          <x:t xml:space="preserve">25%-40%</x:t>
        </x:is>
      </x:c>
      <x:c r="D13" s="3" t="inlineStr">
        <x:is>
          <x:t xml:space="preserve">30%-45%</x:t>
        </x:is>
      </x:c>
      <x:c r="E13" s="3" t="inlineStr">
        <x:is>
          <x:t xml:space="preserve">Control effects should matter without locking the board.</x:t>
        </x:is>
      </x:c>
    </x:row>
    <x:row r="14" ht="24" customHeight="1">
      <x:c r="A14" s="4" t="n"/>
      <x:c r="B14" s="4" t="n"/>
      <x:c r="C14" s="4" t="n"/>
      <x:c r="D14" s="4" t="n"/>
      <x:c r="E14" s="4" t="n"/>
    </x:row>
    <x:row r="15" ht="24" customHeight="1">
      <x:c r="A15" s="4" t="n"/>
      <x:c r="B15" s="4" t="n"/>
      <x:c r="C15" s="4" t="n"/>
      <x:c r="D15" s="4" t="n"/>
      <x:c r="E15" s="4" t="n"/>
    </x:row>
    <x:row r="16" ht="36" customHeight="1">
      <x:c r="A16" s="9" t="inlineStr">
        <x:is>
          <x:t xml:space="preserve">These are balancing guardrails, not hard constraints. Codex should implement data validation helpers that warn when content falls outside the Tier 1 band for the first vertical slice.</x:t>
        </x:is>
      </x:c>
    </x:row>
  </x:sheetData>
  <x:mergeCells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46" customWidth="1"/>
    <x:col min="11" max="11" width="12" customWidth="1"/>
  </x:cols>
  <x:sheetData>
    <x:row r="1">
      <x:c r="A1" s="1" t="inlineStr">
        <x:is>
          <x:t xml:space="preserve">GLADIATOR CLASS DEFINITIONS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2">
      <x:c r="A2" s="2" t="inlineStr">
        <x:is>
          <x:t xml:space="preserve">ClassID</x:t>
        </x:is>
      </x:c>
      <x:c r="B2" s="2" t="inlineStr">
        <x:is>
          <x:t xml:space="preserve">DisplayName</x:t>
        </x:is>
      </x:c>
      <x:c r="C2" s="2" t="inlineStr">
        <x:is>
          <x:t xml:space="preserve">Role</x:t>
        </x:is>
      </x:c>
      <x:c r="D2" s="2" t="inlineStr">
        <x:is>
          <x:t xml:space="preserve">BaseHP</x:t>
        </x:is>
      </x:c>
      <x:c r="E2" s="2" t="inlineStr">
        <x:is>
          <x:t xml:space="preserve">BaseSTA</x:t>
        </x:is>
      </x:c>
      <x:c r="F2" s="2" t="inlineStr">
        <x:is>
          <x:t xml:space="preserve">BaseATK</x:t>
        </x:is>
      </x:c>
      <x:c r="G2" s="2" t="inlineStr">
        <x:is>
          <x:t xml:space="preserve">BaseDEF</x:t>
        </x:is>
      </x:c>
      <x:c r="H2" s="2" t="inlineStr">
        <x:is>
          <x:t xml:space="preserve">BaseSPD</x:t>
        </x:is>
      </x:c>
      <x:c r="I2" s="2" t="inlineStr">
        <x:is>
          <x:t xml:space="preserve">BaseSKL</x:t>
        </x:is>
      </x:c>
      <x:c r="J2" s="2" t="inlineStr">
        <x:is>
          <x:t xml:space="preserve">PassiveNotes</x:t>
        </x:is>
      </x:c>
      <x:c r="K2" s="2" t="inlineStr">
        <x:is>
          <x:t xml:space="preserve">StatBudget</x:t>
        </x:is>
      </x:c>
    </x:row>
    <x:row r="3" ht="30" customHeight="1">
      <x:c r="A3" s="7" t="inlineStr">
        <x:is>
          <x:t xml:space="preserve">RETIARIUS</x:t>
        </x:is>
      </x:c>
      <x:c r="B3" s="3" t="inlineStr">
        <x:is>
          <x:t xml:space="preserve">Retiarius</x:t>
        </x:is>
      </x:c>
      <x:c r="C3" s="7" t="inlineStr">
        <x:is>
          <x:t xml:space="preserve">Disruptor</x:t>
        </x:is>
      </x:c>
      <x:c r="D3" s="3" t="n">
        <x:v>22</x:v>
      </x:c>
      <x:c r="E3" s="3" t="n">
        <x:v>10</x:v>
      </x:c>
      <x:c r="F3" s="3" t="n">
        <x:v>6</x:v>
      </x:c>
      <x:c r="G3" s="3" t="n">
        <x:v>3</x:v>
      </x:c>
      <x:c r="H3" s="3" t="n">
        <x:v>8</x:v>
      </x:c>
      <x:c r="I3" s="3" t="n">
        <x:v>7</x:v>
      </x:c>
      <x:c r="J3" s="3" t="inlineStr">
        <x:is>
          <x:t xml:space="preserve">Net specialist. Gains +10 percentage points hit chance on Net Throw from starting kit.</x:t>
        </x:is>
      </x:c>
      <x:c r="K3" s="13">
        <x:f>SUM(D3:I3)</x:f>
        <x:v>56</x:v>
      </x:c>
    </x:row>
    <x:row r="4" ht="30" customHeight="1">
      <x:c r="A4" s="7" t="inlineStr">
        <x:is>
          <x:t xml:space="preserve">SECUTOR</x:t>
        </x:is>
      </x:c>
      <x:c r="B4" s="3" t="inlineStr">
        <x:is>
          <x:t xml:space="preserve">Secutor</x:t>
        </x:is>
      </x:c>
      <x:c r="C4" s="7" t="inlineStr">
        <x:is>
          <x:t xml:space="preserve">Bulwark</x:t>
        </x:is>
      </x:c>
      <x:c r="D4" s="3" t="n">
        <x:v>26</x:v>
      </x:c>
      <x:c r="E4" s="3" t="n">
        <x:v>9</x:v>
      </x:c>
      <x:c r="F4" s="3" t="n">
        <x:v>7</x:v>
      </x:c>
      <x:c r="G4" s="3" t="n">
        <x:v>7</x:v>
      </x:c>
      <x:c r="H4" s="3" t="n">
        <x:v>5</x:v>
      </x:c>
      <x:c r="I4" s="3" t="n">
        <x:v>5</x:v>
      </x:c>
      <x:c r="J4" s="3" t="inlineStr">
        <x:is>
          <x:t xml:space="preserve">High DEF and shield access. Designed to counter Retiarius tempo.</x:t>
        </x:is>
      </x:c>
      <x:c r="K4" s="13">
        <x:f>SUM(D4:I4)</x:f>
        <x:v>59</x:v>
      </x:c>
    </x:row>
    <x:row r="5" ht="30" customHeight="1">
      <x:c r="A5" s="7" t="inlineStr">
        <x:is>
          <x:t xml:space="preserve">MURMILLO</x:t>
        </x:is>
      </x:c>
      <x:c r="B5" s="3" t="inlineStr">
        <x:is>
          <x:t xml:space="preserve">Murmillo</x:t>
        </x:is>
      </x:c>
      <x:c r="C5" s="7" t="inlineStr">
        <x:is>
          <x:t xml:space="preserve">Bruiser</x:t>
        </x:is>
      </x:c>
      <x:c r="D5" s="3" t="n">
        <x:v>28</x:v>
      </x:c>
      <x:c r="E5" s="3" t="n">
        <x:v>8</x:v>
      </x:c>
      <x:c r="F5" s="3" t="n">
        <x:v>8</x:v>
      </x:c>
      <x:c r="G5" s="3" t="n">
        <x:v>8</x:v>
      </x:c>
      <x:c r="H5" s="3" t="n">
        <x:v>3</x:v>
      </x:c>
      <x:c r="I5" s="3" t="n">
        <x:v>4</x:v>
      </x:c>
      <x:c r="J5" s="3" t="inlineStr">
        <x:is>
          <x:t xml:space="preserve">Slow but durable damage dealer.</x:t>
        </x:is>
      </x:c>
      <x:c r="K5" s="13">
        <x:f>SUM(D5:I5)</x:f>
        <x:v>59</x:v>
      </x:c>
    </x:row>
    <x:row r="6" ht="30" customHeight="1">
      <x:c r="A6" s="7" t="inlineStr">
        <x:is>
          <x:t xml:space="preserve">THRACIAN</x:t>
        </x:is>
      </x:c>
      <x:c r="B6" s="3" t="inlineStr">
        <x:is>
          <x:t xml:space="preserve">Thracian</x:t>
        </x:is>
      </x:c>
      <x:c r="C6" s="7" t="inlineStr">
        <x:is>
          <x:t xml:space="preserve">Skirmisher</x:t>
        </x:is>
      </x:c>
      <x:c r="D6" s="3" t="n">
        <x:v>24</x:v>
      </x:c>
      <x:c r="E6" s="3" t="n">
        <x:v>10</x:v>
      </x:c>
      <x:c r="F6" s="3" t="n">
        <x:v>7</x:v>
      </x:c>
      <x:c r="G6" s="3" t="n">
        <x:v>4</x:v>
      </x:c>
      <x:c r="H6" s="3" t="n">
        <x:v>7</x:v>
      </x:c>
      <x:c r="I6" s="3" t="n">
        <x:v>6</x:v>
      </x:c>
      <x:c r="J6" s="3" t="inlineStr">
        <x:is>
          <x:t xml:space="preserve">Mobile attacker with burst options.</x:t>
        </x:is>
      </x:c>
      <x:c r="K6" s="13">
        <x:f>SUM(D6:I6)</x:f>
        <x:v>58</x:v>
      </x:c>
    </x:row>
    <x:row r="7" ht="30" customHeight="1">
      <x:c r="A7" s="4" t="n"/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</x:row>
    <x:row r="8" ht="34" customHeight="1">
      <x:c r="A8" s="9" t="inlineStr">
        <x:is>
          <x:t xml:space="preserve">StatBudget is only a sanity check. Final playable power comes from class + equipment + skills + stamina economy.</x:t>
        </x:is>
      </x:c>
    </x:row>
  </x:sheetData>
  <x:mergeCells>
    <x:mergeCell ref="A8:K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2" customWidth="1"/>
    <x:col min="4" max="4" width="26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2" customWidth="1"/>
    <x:col min="12" max="12" width="12" customWidth="1"/>
    <x:col min="13" max="13" width="48" customWidth="1"/>
  </x:cols>
  <x:sheetData>
    <x:row r="1" ht="28" customHeight="1">
      <x:c r="A1" s="1" t="inlineStr">
        <x:is>
          <x:t xml:space="preserve">EQUIPMENT DEFINITIONS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</x:row>
    <x:row r="2">
      <x:c r="A2" s="2" t="inlineStr">
        <x:is>
          <x:t xml:space="preserve">ItemID</x:t>
        </x:is>
      </x:c>
      <x:c r="B2" s="2" t="inlineStr">
        <x:is>
          <x:t xml:space="preserve">DisplayName</x:t>
        </x:is>
      </x:c>
      <x:c r="C2" s="2" t="inlineStr">
        <x:is>
          <x:t xml:space="preserve">Slot</x:t>
        </x:is>
      </x:c>
      <x:c r="D2" s="2" t="inlineStr">
        <x:is>
          <x:t xml:space="preserve">AllowedClassID</x:t>
        </x:is>
      </x:c>
      <x:c r="E2" s="2" t="inlineStr">
        <x:is>
          <x:t xml:space="preserve">ATKMod</x:t>
        </x:is>
      </x:c>
      <x:c r="F2" s="2" t="inlineStr">
        <x:is>
          <x:t xml:space="preserve">DEFMod</x:t>
        </x:is>
      </x:c>
      <x:c r="G2" s="2" t="inlineStr">
        <x:is>
          <x:t xml:space="preserve">SPDMod</x:t>
        </x:is>
      </x:c>
      <x:c r="H2" s="2" t="inlineStr">
        <x:is>
          <x:t xml:space="preserve">SKLMod</x:t>
        </x:is>
      </x:c>
      <x:c r="I2" s="2" t="inlineStr">
        <x:is>
          <x:t xml:space="preserve">HPMod</x:t>
        </x:is>
      </x:c>
      <x:c r="J2" s="2" t="inlineStr">
        <x:is>
          <x:t xml:space="preserve">STAMod</x:t>
        </x:is>
      </x:c>
      <x:c r="K2" s="2" t="inlineStr">
        <x:is>
          <x:t xml:space="preserve">HitModPct</x:t>
        </x:is>
      </x:c>
      <x:c r="L2" s="2" t="inlineStr">
        <x:is>
          <x:t xml:space="preserve">CritModPct</x:t>
        </x:is>
      </x:c>
      <x:c r="M2" s="2" t="inlineStr">
        <x:is>
          <x:t xml:space="preserve">Notes</x:t>
        </x:is>
      </x:c>
    </x:row>
    <x:row r="3" ht="30" customHeight="1">
      <x:c r="A3" s="7" t="inlineStr">
        <x:is>
          <x:t xml:space="preserve">TRIDENT_START</x:t>
        </x:is>
      </x:c>
      <x:c r="B3" s="3" t="inlineStr">
        <x:is>
          <x:t xml:space="preserve">Starter Trident</x:t>
        </x:is>
      </x:c>
      <x:c r="C3" s="3" t="inlineStr">
        <x:is>
          <x:t xml:space="preserve">Weapon</x:t>
        </x:is>
      </x:c>
      <x:c r="D3" s="3" t="inlineStr">
        <x:is>
          <x:t xml:space="preserve">RETIARIUS</x:t>
        </x:is>
      </x:c>
      <x:c r="E3" s="12" t="n">
        <x:v>2</x:v>
      </x:c>
      <x:c r="F3" s="12" t="n">
        <x:v>0</x:v>
      </x:c>
      <x:c r="G3" s="12" t="n">
        <x:v>0</x:v>
      </x:c>
      <x:c r="H3" s="12" t="n">
        <x:v>1</x:v>
      </x:c>
      <x:c r="I3" s="12" t="n">
        <x:v>0</x:v>
      </x:c>
      <x:c r="J3" s="12" t="n">
        <x:v>0</x:v>
      </x:c>
      <x:c r="K3" s="10" t="n">
        <x:v>0</x:v>
      </x:c>
      <x:c r="L3" s="10" t="n">
        <x:v>0</x:v>
      </x:c>
      <x:c r="M3" s="3" t="inlineStr">
        <x:is>
          <x:t xml:space="preserve">Baseline reach weapon for starter Retiarius.</x:t>
        </x:is>
      </x:c>
    </x:row>
    <x:row r="4" ht="30" customHeight="1">
      <x:c r="A4" s="7" t="inlineStr">
        <x:is>
          <x:t xml:space="preserve">NET_START</x:t>
        </x:is>
      </x:c>
      <x:c r="B4" s="3" t="inlineStr">
        <x:is>
          <x:t xml:space="preserve">Starter Net</x:t>
        </x:is>
      </x:c>
      <x:c r="C4" s="3" t="inlineStr">
        <x:is>
          <x:t xml:space="preserve">Offhand</x:t>
        </x:is>
      </x:c>
      <x:c r="D4" s="3" t="inlineStr">
        <x:is>
          <x:t xml:space="preserve">RETIARIUS</x:t>
        </x:is>
      </x:c>
      <x:c r="E4" s="12" t="n">
        <x:v>0</x:v>
      </x:c>
      <x:c r="F4" s="12" t="n">
        <x:v>0</x:v>
      </x:c>
      <x:c r="G4" s="12" t="n">
        <x:v>0</x:v>
      </x:c>
      <x:c r="H4" s="12" t="n">
        <x:v>1</x:v>
      </x:c>
      <x:c r="I4" s="12" t="n">
        <x:v>0</x:v>
      </x:c>
      <x:c r="J4" s="12" t="n">
        <x:v>0</x:v>
      </x:c>
      <x:c r="K4" s="10" t="n">
        <x:v>0.1</x:v>
      </x:c>
      <x:c r="L4" s="10" t="n">
        <x:v>0</x:v>
      </x:c>
      <x:c r="M4" s="3" t="inlineStr">
        <x:is>
          <x:t xml:space="preserve">Unlocks Net Throw and supplies +10 percentage points hit chance only when Net Throw is used.</x:t>
        </x:is>
      </x:c>
    </x:row>
    <x:row r="5" ht="30" customHeight="1">
      <x:c r="A5" s="7" t="inlineStr">
        <x:is>
          <x:t xml:space="preserve">GLADIUS_START</x:t>
        </x:is>
      </x:c>
      <x:c r="B5" s="3" t="inlineStr">
        <x:is>
          <x:t xml:space="preserve">Starter Gladius</x:t>
        </x:is>
      </x:c>
      <x:c r="C5" s="3" t="inlineStr">
        <x:is>
          <x:t xml:space="preserve">Weapon</x:t>
        </x:is>
      </x:c>
      <x:c r="D5" s="3" t="inlineStr">
        <x:is>
          <x:t xml:space="preserve">SECUTOR|MURMILLO</x:t>
        </x:is>
      </x:c>
      <x:c r="E5" s="12" t="n">
        <x:v>2</x:v>
      </x:c>
      <x:c r="F5" s="12" t="n">
        <x:v>0</x:v>
      </x:c>
      <x:c r="G5" s="12" t="n">
        <x:v>0</x:v>
      </x:c>
      <x:c r="H5" s="12" t="n">
        <x:v>0</x:v>
      </x:c>
      <x:c r="I5" s="12" t="n">
        <x:v>0</x:v>
      </x:c>
      <x:c r="J5" s="12" t="n">
        <x:v>0</x:v>
      </x:c>
      <x:c r="K5" s="10" t="n">
        <x:v>0</x:v>
      </x:c>
      <x:c r="L5" s="10" t="n">
        <x:v>0</x:v>
      </x:c>
      <x:c r="M5" s="3" t="inlineStr">
        <x:is>
          <x:t xml:space="preserve">Reliable starter sword.</x:t>
        </x:is>
      </x:c>
    </x:row>
    <x:row r="6" ht="30" customHeight="1">
      <x:c r="A6" s="7" t="inlineStr">
        <x:is>
          <x:t xml:space="preserve">SICA_START</x:t>
        </x:is>
      </x:c>
      <x:c r="B6" s="3" t="inlineStr">
        <x:is>
          <x:t xml:space="preserve">Starter Sica</x:t>
        </x:is>
      </x:c>
      <x:c r="C6" s="3" t="inlineStr">
        <x:is>
          <x:t xml:space="preserve">Weapon</x:t>
        </x:is>
      </x:c>
      <x:c r="D6" s="3" t="inlineStr">
        <x:is>
          <x:t xml:space="preserve">THRACIAN</x:t>
        </x:is>
      </x:c>
      <x:c r="E6" s="12" t="n">
        <x:v>2</x:v>
      </x:c>
      <x:c r="F6" s="12" t="n">
        <x:v>0</x:v>
      </x:c>
      <x:c r="G6" s="12" t="n">
        <x:v>1</x:v>
      </x:c>
      <x:c r="H6" s="12" t="n">
        <x:v>0</x:v>
      </x:c>
      <x:c r="I6" s="12" t="n">
        <x:v>0</x:v>
      </x:c>
      <x:c r="J6" s="12" t="n">
        <x:v>0</x:v>
      </x:c>
      <x:c r="K6" s="10" t="n">
        <x:v>0</x:v>
      </x:c>
      <x:c r="L6" s="10" t="n">
        <x:v>0.05</x:v>
      </x:c>
      <x:c r="M6" s="3" t="inlineStr">
        <x:is>
          <x:t xml:space="preserve">Favors burst play.</x:t>
        </x:is>
      </x:c>
    </x:row>
    <x:row r="7" ht="30" customHeight="1">
      <x:c r="A7" s="7" t="inlineStr">
        <x:is>
          <x:t xml:space="preserve">TOWER_SHIELD_START</x:t>
        </x:is>
      </x:c>
      <x:c r="B7" s="3" t="inlineStr">
        <x:is>
          <x:t xml:space="preserve">Starter Tower Shield</x:t>
        </x:is>
      </x:c>
      <x:c r="C7" s="3" t="inlineStr">
        <x:is>
          <x:t xml:space="preserve">Offhand</x:t>
        </x:is>
      </x:c>
      <x:c r="D7" s="3" t="inlineStr">
        <x:is>
          <x:t xml:space="preserve">SECUTOR</x:t>
        </x:is>
      </x:c>
      <x:c r="E7" s="12" t="n">
        <x:v>0</x:v>
      </x:c>
      <x:c r="F7" s="12" t="n">
        <x:v>2</x:v>
      </x:c>
      <x:c r="G7" s="12" t="n">
        <x:v>-1</x:v>
      </x:c>
      <x:c r="H7" s="12" t="n">
        <x:v>0</x:v>
      </x:c>
      <x:c r="I7" s="12" t="n">
        <x:v>0</x:v>
      </x:c>
      <x:c r="J7" s="12" t="n">
        <x:v>0</x:v>
      </x:c>
      <x:c r="K7" s="10" t="n">
        <x:v>0</x:v>
      </x:c>
      <x:c r="L7" s="10" t="n">
        <x:v>0</x:v>
      </x:c>
      <x:c r="M7" s="3" t="inlineStr">
        <x:is>
          <x:t xml:space="preserve">Bulwark offhand.</x:t>
        </x:is>
      </x:c>
    </x:row>
    <x:row r="8" ht="30" customHeight="1">
      <x:c r="A8" s="7" t="inlineStr">
        <x:is>
          <x:t xml:space="preserve">SCUTUM_START</x:t>
        </x:is>
      </x:c>
      <x:c r="B8" s="3" t="inlineStr">
        <x:is>
          <x:t xml:space="preserve">Starter Scutum</x:t>
        </x:is>
      </x:c>
      <x:c r="C8" s="3" t="inlineStr">
        <x:is>
          <x:t xml:space="preserve">Offhand</x:t>
        </x:is>
      </x:c>
      <x:c r="D8" s="3" t="inlineStr">
        <x:is>
          <x:t xml:space="preserve">MURMILLO</x:t>
        </x:is>
      </x:c>
      <x:c r="E8" s="12" t="n">
        <x:v>0</x:v>
      </x:c>
      <x:c r="F8" s="12" t="n">
        <x:v>2</x:v>
      </x:c>
      <x:c r="G8" s="12" t="n">
        <x:v>-2</x:v>
      </x:c>
      <x:c r="H8" s="12" t="n">
        <x:v>0</x:v>
      </x:c>
      <x:c r="I8" s="12" t="n">
        <x:v>0</x:v>
      </x:c>
      <x:c r="J8" s="12" t="n">
        <x:v>0</x:v>
      </x:c>
      <x:c r="K8" s="10" t="n">
        <x:v>0</x:v>
      </x:c>
      <x:c r="L8" s="10" t="n">
        <x:v>0</x:v>
      </x:c>
      <x:c r="M8" s="3" t="inlineStr">
        <x:is>
          <x:t xml:space="preserve">Heavy shield for slower bruisers.</x:t>
        </x:is>
      </x:c>
    </x:row>
    <x:row r="9" ht="30" customHeight="1">
      <x:c r="A9" s="7" t="inlineStr">
        <x:is>
          <x:t xml:space="preserve">BUCKLER_START</x:t>
        </x:is>
      </x:c>
      <x:c r="B9" s="3" t="inlineStr">
        <x:is>
          <x:t xml:space="preserve">Starter Buckler</x:t>
        </x:is>
      </x:c>
      <x:c r="C9" s="3" t="inlineStr">
        <x:is>
          <x:t xml:space="preserve">Offhand</x:t>
        </x:is>
      </x:c>
      <x:c r="D9" s="3" t="inlineStr">
        <x:is>
          <x:t xml:space="preserve">THRACIAN</x:t>
        </x:is>
      </x:c>
      <x:c r="E9" s="12" t="n">
        <x:v>0</x:v>
      </x:c>
      <x:c r="F9" s="12" t="n">
        <x:v>1</x:v>
      </x:c>
      <x:c r="G9" s="12" t="n">
        <x:v>0</x:v>
      </x:c>
      <x:c r="H9" s="12" t="n">
        <x:v>0</x:v>
      </x:c>
      <x:c r="I9" s="12" t="n">
        <x:v>0</x:v>
      </x:c>
      <x:c r="J9" s="12" t="n">
        <x:v>0</x:v>
      </x:c>
      <x:c r="K9" s="10" t="n">
        <x:v>0</x:v>
      </x:c>
      <x:c r="L9" s="10" t="n">
        <x:v>0</x:v>
      </x:c>
      <x:c r="M9" s="3" t="inlineStr">
        <x:is>
          <x:t xml:space="preserve">Light defense with no speed penalty.</x:t>
        </x:is>
      </x:c>
    </x:row>
    <x:row r="10" ht="30" customHeight="1">
      <x:c r="A10" s="7" t="inlineStr">
        <x:is>
          <x:t xml:space="preserve">HEAVY_HELM</x:t>
        </x:is>
      </x:c>
      <x:c r="B10" s="3" t="inlineStr">
        <x:is>
          <x:t xml:space="preserve">Heavy Helmet</x:t>
        </x:is>
      </x:c>
      <x:c r="C10" s="3" t="inlineStr">
        <x:is>
          <x:t xml:space="preserve">Armor</x:t>
        </x:is>
      </x:c>
      <x:c r="D10" s="3" t="inlineStr">
        <x:is>
          <x:t xml:space="preserve">SECUTOR</x:t>
        </x:is>
      </x:c>
      <x:c r="E10" s="12" t="n">
        <x:v>0</x:v>
      </x:c>
      <x:c r="F10" s="12" t="n">
        <x:v>1</x:v>
      </x:c>
      <x:c r="G10" s="12" t="n">
        <x:v>-1</x:v>
      </x:c>
      <x:c r="H10" s="12" t="n">
        <x:v>0</x:v>
      </x:c>
      <x:c r="I10" s="12" t="n">
        <x:v>0</x:v>
      </x:c>
      <x:c r="J10" s="12" t="n">
        <x:v>0</x:v>
      </x:c>
      <x:c r="K10" s="10" t="n">
        <x:v>0</x:v>
      </x:c>
      <x:c r="L10" s="10" t="n">
        <x:v>0</x:v>
      </x:c>
      <x:c r="M10" s="3" t="inlineStr">
        <x:is>
          <x:t xml:space="preserve">Extra armor at the cost of tempo.</x:t>
        </x:is>
      </x:c>
    </x:row>
    <x:row r="11" ht="30" customHeight="1">
      <x:c r="A11" s="7" t="inlineStr">
        <x:is>
          <x:t xml:space="preserve">LIGHT_ARMOR</x:t>
        </x:is>
      </x:c>
      <x:c r="B11" s="3" t="inlineStr">
        <x:is>
          <x:t xml:space="preserve">Light Armor</x:t>
        </x:is>
      </x:c>
      <x:c r="C11" s="3" t="inlineStr">
        <x:is>
          <x:t xml:space="preserve">Armor</x:t>
        </x:is>
      </x:c>
      <x:c r="D11" s="3" t="inlineStr">
        <x:is>
          <x:t xml:space="preserve">ANY</x:t>
        </x:is>
      </x:c>
      <x:c r="E11" s="12" t="n">
        <x:v>0</x:v>
      </x:c>
      <x:c r="F11" s="12" t="n">
        <x:v>1</x:v>
      </x:c>
      <x:c r="G11" s="12" t="n">
        <x:v>0</x:v>
      </x:c>
      <x:c r="H11" s="12" t="n">
        <x:v>0</x:v>
      </x:c>
      <x:c r="I11" s="12" t="n">
        <x:v>0</x:v>
      </x:c>
      <x:c r="J11" s="12" t="n">
        <x:v>0</x:v>
      </x:c>
      <x:c r="K11" s="10" t="n">
        <x:v>0</x:v>
      </x:c>
      <x:c r="L11" s="10" t="n">
        <x:v>0</x:v>
      </x:c>
      <x:c r="M11" s="3" t="inlineStr">
        <x:is>
          <x:t xml:space="preserve">Baseline starter armor for lighter classes.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20" customWidth="1"/>
    <x:col min="4" max="4" width="10" customWidth="1"/>
    <x:col min="5" max="5" width="14" customWidth="1"/>
    <x:col min="6" max="6" width="12" customWidth="1"/>
    <x:col min="7" max="7" width="12" customWidth="1"/>
    <x:col min="8" max="8" width="12" customWidth="1"/>
    <x:col min="9" max="9" width="16" customWidth="1"/>
    <x:col min="10" max="10" width="12" customWidth="1"/>
    <x:col min="11" max="11" width="14" customWidth="1"/>
    <x:col min="12" max="12" width="48" customWidth="1"/>
  </x:cols>
  <x:sheetData>
    <x:row r="1">
      <x:c r="A1" s="1" t="inlineStr">
        <x:is>
          <x:t xml:space="preserve">SKILL DEFINITIONS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2">
      <x:c r="A2" s="2" t="inlineStr">
        <x:is>
          <x:t xml:space="preserve">SkillID</x:t>
        </x:is>
      </x:c>
      <x:c r="B2" s="2" t="inlineStr">
        <x:is>
          <x:t xml:space="preserve">DisplayName</x:t>
        </x:is>
      </x:c>
      <x:c r="C2" s="2" t="inlineStr">
        <x:is>
          <x:t xml:space="preserve">UsableBy</x:t>
        </x:is>
      </x:c>
      <x:c r="D2" s="2" t="inlineStr">
        <x:is>
          <x:t xml:space="preserve">StaCost</x:t>
        </x:is>
      </x:c>
      <x:c r="E2" s="2" t="inlineStr">
        <x:is>
          <x:t xml:space="preserve">AccuracyModPct</x:t>
        </x:is>
      </x:c>
      <x:c r="F2" s="2" t="inlineStr">
        <x:is>
          <x:t xml:space="preserve">FlatDamage</x:t>
        </x:is>
      </x:c>
      <x:c r="G2" s="2" t="inlineStr">
        <x:is>
          <x:t xml:space="preserve">CritBonusPct</x:t>
        </x:is>
      </x:c>
      <x:c r="H2" s="2" t="inlineStr">
        <x:is>
          <x:t xml:space="preserve">SelfDefMod</x:t>
        </x:is>
      </x:c>
      <x:c r="I2" s="2" t="inlineStr">
        <x:is>
          <x:t xml:space="preserve">ApplyStatusID</x:t>
        </x:is>
      </x:c>
      <x:c r="J2" s="2" t="inlineStr">
        <x:is>
          <x:t xml:space="preserve">StatusTurns</x:t>
        </x:is>
      </x:c>
      <x:c r="K2" s="2" t="inlineStr">
        <x:is>
          <x:t xml:space="preserve">CooldownTurns</x:t>
        </x:is>
      </x:c>
      <x:c r="L2" s="2" t="inlineStr">
        <x:is>
          <x:t xml:space="preserve">Notes</x:t>
        </x:is>
      </x:c>
    </x:row>
    <x:row r="3" ht="28" customHeight="1">
      <x:c r="A3" s="7" t="inlineStr">
        <x:is>
          <x:t xml:space="preserve">BASIC_ATTACK</x:t>
        </x:is>
      </x:c>
      <x:c r="B3" s="3" t="inlineStr">
        <x:is>
          <x:t xml:space="preserve">Basic Attack</x:t>
        </x:is>
      </x:c>
      <x:c r="C3" s="3" t="inlineStr">
        <x:is>
          <x:t xml:space="preserve">ANY</x:t>
        </x:is>
      </x:c>
      <x:c r="D3" s="12" t="n">
        <x:v>2</x:v>
      </x:c>
      <x:c r="E3" s="10" t="n">
        <x:v>0</x:v>
      </x:c>
      <x:c r="F3" s="12" t="n">
        <x:v>0</x:v>
      </x:c>
      <x:c r="G3" s="10" t="n">
        <x:v>0</x:v>
      </x:c>
      <x:c r="H3" s="12" t="n">
        <x:v>0</x:v>
      </x:c>
      <x:c r="I3" s="3" t="inlineStr">
        <x:is>
          <x:t xml:space="preserve"/>
        </x:is>
      </x:c>
      <x:c r="J3" s="12" t="n">
        <x:v>0</x:v>
      </x:c>
      <x:c r="K3" s="12" t="n">
        <x:v>0</x:v>
      </x:c>
      <x:c r="L3" s="3" t="inlineStr">
        <x:is>
          <x:t xml:space="preserve">Default attack action.</x:t>
        </x:is>
      </x:c>
    </x:row>
    <x:row r="4" ht="28" customHeight="1">
      <x:c r="A4" s="7" t="inlineStr">
        <x:is>
          <x:t xml:space="preserve">DEFEND</x:t>
        </x:is>
      </x:c>
      <x:c r="B4" s="3" t="inlineStr">
        <x:is>
          <x:t xml:space="preserve">Defend</x:t>
        </x:is>
      </x:c>
      <x:c r="C4" s="3" t="inlineStr">
        <x:is>
          <x:t xml:space="preserve">ANY</x:t>
        </x:is>
      </x:c>
      <x:c r="D4" s="12" t="n">
        <x:v>1</x:v>
      </x:c>
      <x:c r="E4" s="10" t="n">
        <x:v>0</x:v>
      </x:c>
      <x:c r="F4" s="12" t="n">
        <x:v>0</x:v>
      </x:c>
      <x:c r="G4" s="10" t="n">
        <x:v>0</x:v>
      </x:c>
      <x:c r="H4" s="12" t="n">
        <x:v>2</x:v>
      </x:c>
      <x:c r="I4" s="3" t="inlineStr">
        <x:is>
          <x:t xml:space="preserve"/>
        </x:is>
      </x:c>
      <x:c r="J4" s="12" t="n">
        <x:v>0</x:v>
      </x:c>
      <x:c r="K4" s="12" t="n">
        <x:v>0</x:v>
      </x:c>
      <x:c r="L4" s="3" t="inlineStr">
        <x:is>
          <x:t xml:space="preserve">Gain temporary DEF until next action.</x:t>
        </x:is>
      </x:c>
    </x:row>
    <x:row r="5" ht="28" customHeight="1">
      <x:c r="A5" s="7" t="inlineStr">
        <x:is>
          <x:t xml:space="preserve">RECOVER</x:t>
        </x:is>
      </x:c>
      <x:c r="B5" s="3" t="inlineStr">
        <x:is>
          <x:t xml:space="preserve">Recover</x:t>
        </x:is>
      </x:c>
      <x:c r="C5" s="3" t="inlineStr">
        <x:is>
          <x:t xml:space="preserve">ANY</x:t>
        </x:is>
      </x:c>
      <x:c r="D5" s="12" t="n">
        <x:v>0</x:v>
      </x:c>
      <x:c r="E5" s="10" t="n">
        <x:v>0</x:v>
      </x:c>
      <x:c r="F5" s="12" t="n">
        <x:v>0</x:v>
      </x:c>
      <x:c r="G5" s="10" t="n">
        <x:v>0</x:v>
      </x:c>
      <x:c r="H5" s="12" t="n">
        <x:v>0</x:v>
      </x:c>
      <x:c r="I5" s="3" t="inlineStr">
        <x:is>
          <x:t xml:space="preserve"/>
        </x:is>
      </x:c>
      <x:c r="J5" s="12" t="n">
        <x:v>0</x:v>
      </x:c>
      <x:c r="K5" s="12" t="n">
        <x:v>0</x:v>
      </x:c>
      <x:c r="L5" s="3" t="inlineStr">
        <x:is>
          <x:t xml:space="preserve">Restore extra STA equal to RecoverBonusStamina.</x:t>
        </x:is>
      </x:c>
    </x:row>
    <x:row r="6" ht="28" customHeight="1">
      <x:c r="A6" s="7" t="inlineStr">
        <x:is>
          <x:t xml:space="preserve">NET_THROW</x:t>
        </x:is>
      </x:c>
      <x:c r="B6" s="3" t="inlineStr">
        <x:is>
          <x:t xml:space="preserve">Net Throw</x:t>
        </x:is>
      </x:c>
      <x:c r="C6" s="3" t="inlineStr">
        <x:is>
          <x:t xml:space="preserve">RETIARIUS</x:t>
        </x:is>
      </x:c>
      <x:c r="D6" s="12" t="n">
        <x:v>3</x:v>
      </x:c>
      <x:c r="E6" s="10" t="n">
        <x:v>0</x:v>
      </x:c>
      <x:c r="F6" s="12" t="n">
        <x:v>0</x:v>
      </x:c>
      <x:c r="G6" s="10" t="n">
        <x:v>0</x:v>
      </x:c>
      <x:c r="H6" s="12" t="n">
        <x:v>0</x:v>
      </x:c>
      <x:c r="I6" s="3" t="inlineStr">
        <x:is>
          <x:t xml:space="preserve">ENTANGLED</x:t>
        </x:is>
      </x:c>
      <x:c r="J6" s="12" t="n">
        <x:v>2</x:v>
      </x:c>
      <x:c r="K6" s="12" t="n">
        <x:v>2</x:v>
      </x:c>
      <x:c r="L6" s="3" t="inlineStr">
        <x:is>
          <x:t xml:space="preserve">Starter crowd-control action. Accuracy comes from the equipped net (+10 percentage points).</x:t>
        </x:is>
      </x:c>
    </x:row>
    <x:row r="7" ht="28" customHeight="1">
      <x:c r="A7" s="7" t="inlineStr">
        <x:is>
          <x:t xml:space="preserve">SHIELD_BASH</x:t>
        </x:is>
      </x:c>
      <x:c r="B7" s="3" t="inlineStr">
        <x:is>
          <x:t xml:space="preserve">Shield Bash</x:t>
        </x:is>
      </x:c>
      <x:c r="C7" s="3" t="inlineStr">
        <x:is>
          <x:t xml:space="preserve">SECUTOR</x:t>
        </x:is>
      </x:c>
      <x:c r="D7" s="12" t="n">
        <x:v>2</x:v>
      </x:c>
      <x:c r="E7" s="10" t="n">
        <x:v>0</x:v>
      </x:c>
      <x:c r="F7" s="12" t="n">
        <x:v>-1</x:v>
      </x:c>
      <x:c r="G7" s="10" t="n">
        <x:v>0</x:v>
      </x:c>
      <x:c r="H7" s="12" t="n">
        <x:v>0</x:v>
      </x:c>
      <x:c r="I7" s="3" t="inlineStr">
        <x:is>
          <x:t xml:space="preserve">STUNNED</x:t>
        </x:is>
      </x:c>
      <x:c r="J7" s="12" t="n">
        <x:v>1</x:v>
      </x:c>
      <x:c r="K7" s="12" t="n">
        <x:v>2</x:v>
      </x:c>
      <x:c r="L7" s="3" t="inlineStr">
        <x:is>
          <x:t xml:space="preserve">Lower damage but strong tempo swing.</x:t>
        </x:is>
      </x:c>
    </x:row>
    <x:row r="8" ht="28" customHeight="1">
      <x:c r="A8" s="7" t="inlineStr">
        <x:is>
          <x:t xml:space="preserve">LUNGE</x:t>
        </x:is>
      </x:c>
      <x:c r="B8" s="3" t="inlineStr">
        <x:is>
          <x:t xml:space="preserve">Lunge</x:t>
        </x:is>
      </x:c>
      <x:c r="C8" s="3" t="inlineStr">
        <x:is>
          <x:t xml:space="preserve">THRACIAN</x:t>
        </x:is>
      </x:c>
      <x:c r="D8" s="12" t="n">
        <x:v>3</x:v>
      </x:c>
      <x:c r="E8" s="10" t="n">
        <x:v>-0.05</x:v>
      </x:c>
      <x:c r="F8" s="12" t="n">
        <x:v>3</x:v>
      </x:c>
      <x:c r="G8" s="10" t="n">
        <x:v>0.05</x:v>
      </x:c>
      <x:c r="H8" s="12" t="n">
        <x:v>0</x:v>
      </x:c>
      <x:c r="I8" s="3" t="inlineStr">
        <x:is>
          <x:t xml:space="preserve">BLEEDING</x:t>
        </x:is>
      </x:c>
      <x:c r="J8" s="12" t="n">
        <x:v>2</x:v>
      </x:c>
      <x:c r="K8" s="12" t="n">
        <x:v>1</x:v>
      </x:c>
      <x:c r="L8" s="3" t="inlineStr">
        <x:is>
          <x:t xml:space="preserve">Burst option with lower accuracy.</x:t>
        </x:is>
      </x:c>
    </x:row>
    <x:row r="9" ht="34" customHeight="1">
      <x:c r="A9" s="9" t="inlineStr">
        <x:is>
          <x:t xml:space="preserve">For the first playable slice, BASIC_ATTACK, DEFEND, RECOVER, NET_THROW, and SHIELD_BASH are sufficient. LUNGE is included as a future-facing schema example.</x:t>
        </x:is>
      </x:c>
    </x:row>
  </x:sheetData>
  <x:mergeCells>
    <x:mergeCell ref="A9:L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6" customWidth="1"/>
    <x:col min="3" max="3" width="14" customWidth="1"/>
    <x:col min="4" max="4" width="10" customWidth="1"/>
    <x:col min="5" max="5" width="10" customWidth="1"/>
    <x:col min="6" max="6" width="10" customWidth="1"/>
    <x:col min="7" max="7" width="14" customWidth="1"/>
    <x:col min="8" max="8" width="12" customWidth="1"/>
    <x:col min="9" max="9" width="12" customWidth="1"/>
    <x:col min="10" max="10" width="12" customWidth="1"/>
    <x:col min="11" max="11" width="36" customWidth="1"/>
  </x:cols>
  <x:sheetData>
    <x:row r="1">
      <x:c r="A1" s="1" t="inlineStr">
        <x:is>
          <x:t xml:space="preserve">STATUS EFFECT DEFINITIONS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2">
      <x:c r="A2" s="2" t="inlineStr">
        <x:is>
          <x:t xml:space="preserve">StatusID</x:t>
        </x:is>
      </x:c>
      <x:c r="B2" s="2" t="inlineStr">
        <x:is>
          <x:t xml:space="preserve">DisplayName</x:t>
        </x:is>
      </x:c>
      <x:c r="C2" s="2" t="inlineStr">
        <x:is>
          <x:t xml:space="preserve">StackRule</x:t>
        </x:is>
      </x:c>
      <x:c r="D2" s="2" t="inlineStr">
        <x:is>
          <x:t xml:space="preserve">ATKMod</x:t>
        </x:is>
      </x:c>
      <x:c r="E2" s="2" t="inlineStr">
        <x:is>
          <x:t xml:space="preserve">DEFMod</x:t>
        </x:is>
      </x:c>
      <x:c r="F2" s="2" t="inlineStr">
        <x:is>
          <x:t xml:space="preserve">SPDMod</x:t>
        </x:is>
      </x:c>
      <x:c r="G2" s="2" t="inlineStr">
        <x:is>
          <x:t xml:space="preserve">StaRegenMod</x:t>
        </x:is>
      </x:c>
      <x:c r="H2" s="2" t="inlineStr">
        <x:is>
          <x:t xml:space="preserve">DotDamage</x:t>
        </x:is>
      </x:c>
      <x:c r="I2" s="2" t="inlineStr">
        <x:is>
          <x:t xml:space="preserve">SkipTurn</x:t>
        </x:is>
      </x:c>
      <x:c r="J2" s="2" t="inlineStr">
        <x:is>
          <x:t xml:space="preserve">DurationSource</x:t>
        </x:is>
      </x:c>
      <x:c r="K2" s="2" t="inlineStr">
        <x:is>
          <x:t xml:space="preserve">Notes</x:t>
        </x:is>
      </x:c>
    </x:row>
    <x:row r="3" ht="28" customHeight="1">
      <x:c r="A3" s="7" t="inlineStr">
        <x:is>
          <x:t xml:space="preserve">BLEEDING</x:t>
        </x:is>
      </x:c>
      <x:c r="B3" s="3" t="inlineStr">
        <x:is>
          <x:t xml:space="preserve">Bleeding</x:t>
        </x:is>
      </x:c>
      <x:c r="C3" s="3" t="inlineStr">
        <x:is>
          <x:t xml:space="preserve">Refresh</x:t>
        </x:is>
      </x:c>
      <x:c r="D3" s="12" t="n">
        <x:v>0</x:v>
      </x:c>
      <x:c r="E3" s="12" t="n">
        <x:v>0</x:v>
      </x:c>
      <x:c r="F3" s="12" t="n">
        <x:v>0</x:v>
      </x:c>
      <x:c r="G3" s="12" t="n">
        <x:v>0</x:v>
      </x:c>
      <x:c r="H3" s="12" t="n">
        <x:v>2</x:v>
      </x:c>
      <x:c r="I3" s="12" t="n">
        <x:v>0</x:v>
      </x:c>
      <x:c r="J3" s="3" t="inlineStr">
        <x:is>
          <x:t xml:space="preserve">Skill</x:t>
        </x:is>
      </x:c>
      <x:c r="K3" s="3" t="inlineStr">
        <x:is>
          <x:t xml:space="preserve">Lose 2 HP at end of turn.</x:t>
        </x:is>
      </x:c>
    </x:row>
    <x:row r="4" ht="28" customHeight="1">
      <x:c r="A4" s="7" t="inlineStr">
        <x:is>
          <x:t xml:space="preserve">STUNNED</x:t>
        </x:is>
      </x:c>
      <x:c r="B4" s="3" t="inlineStr">
        <x:is>
          <x:t xml:space="preserve">Stunned</x:t>
        </x:is>
      </x:c>
      <x:c r="C4" s="3" t="inlineStr">
        <x:is>
          <x:t xml:space="preserve">Replace</x:t>
        </x:is>
      </x:c>
      <x:c r="D4" s="12" t="n">
        <x:v>0</x:v>
      </x:c>
      <x:c r="E4" s="12" t="n">
        <x:v>0</x:v>
      </x:c>
      <x:c r="F4" s="12" t="n">
        <x:v>0</x:v>
      </x:c>
      <x:c r="G4" s="12" t="n">
        <x:v>0</x:v>
      </x:c>
      <x:c r="H4" s="12" t="n">
        <x:v>0</x:v>
      </x:c>
      <x:c r="I4" s="12" t="n">
        <x:v>1</x:v>
      </x:c>
      <x:c r="J4" s="3" t="inlineStr">
        <x:is>
          <x:t xml:space="preserve">Skill</x:t>
        </x:is>
      </x:c>
      <x:c r="K4" s="3" t="inlineStr">
        <x:is>
          <x:t xml:space="preserve">Skip next action.</x:t>
        </x:is>
      </x:c>
    </x:row>
    <x:row r="5" ht="28" customHeight="1">
      <x:c r="A5" s="7" t="inlineStr">
        <x:is>
          <x:t xml:space="preserve">ENTANGLED</x:t>
        </x:is>
      </x:c>
      <x:c r="B5" s="3" t="inlineStr">
        <x:is>
          <x:t xml:space="preserve">Entangled</x:t>
        </x:is>
      </x:c>
      <x:c r="C5" s="3" t="inlineStr">
        <x:is>
          <x:t xml:space="preserve">Refresh</x:t>
        </x:is>
      </x:c>
      <x:c r="D5" s="12" t="n">
        <x:v>-2</x:v>
      </x:c>
      <x:c r="E5" s="12" t="n">
        <x:v>0</x:v>
      </x:c>
      <x:c r="F5" s="12" t="n">
        <x:v>-3</x:v>
      </x:c>
      <x:c r="G5" s="12" t="n">
        <x:v>0</x:v>
      </x:c>
      <x:c r="H5" s="12" t="n">
        <x:v>0</x:v>
      </x:c>
      <x:c r="I5" s="12" t="n">
        <x:v>0</x:v>
      </x:c>
      <x:c r="J5" s="3" t="inlineStr">
        <x:is>
          <x:t xml:space="preserve">Skill</x:t>
        </x:is>
      </x:c>
      <x:c r="K5" s="3" t="inlineStr">
        <x:is>
          <x:t xml:space="preserve">Reduced ATK and SPD.</x:t>
        </x:is>
      </x:c>
    </x:row>
    <x:row r="6" ht="28" customHeight="1">
      <x:c r="A6" s="7" t="inlineStr">
        <x:is>
          <x:t xml:space="preserve">EXHAUSTED</x:t>
        </x:is>
      </x:c>
      <x:c r="B6" s="3" t="inlineStr">
        <x:is>
          <x:t xml:space="preserve">Exhausted</x:t>
        </x:is>
      </x:c>
      <x:c r="C6" s="3" t="inlineStr">
        <x:is>
          <x:t xml:space="preserve">Replace</x:t>
        </x:is>
      </x:c>
      <x:c r="D6" s="12" t="n">
        <x:v>-2</x:v>
      </x:c>
      <x:c r="E6" s="12" t="n">
        <x:v>0</x:v>
      </x:c>
      <x:c r="F6" s="12" t="n">
        <x:v>-2</x:v>
      </x:c>
      <x:c r="G6" s="12" t="n">
        <x:v>-1</x:v>
      </x:c>
      <x:c r="H6" s="12" t="n">
        <x:v>0</x:v>
      </x:c>
      <x:c r="I6" s="12" t="n">
        <x:v>0</x:v>
      </x:c>
      <x:c r="J6" s="3" t="inlineStr">
        <x:is>
          <x:t xml:space="preserve">Runtime</x:t>
        </x:is>
      </x:c>
      <x:c r="K6" s="3" t="inlineStr">
        <x:is>
          <x:t xml:space="preserve">Applied automatically when STA reaches 0.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2" customWidth="1"/>
    <x:col min="3" max="3" width="14" customWidth="1"/>
    <x:col min="4" max="4" width="18" customWidth="1"/>
    <x:col min="5" max="5" width="18" customWidth="1"/>
    <x:col min="6" max="6" width="16" customWidth="1"/>
    <x:col min="7" max="7" width="16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6" customWidth="1"/>
    <x:col min="21" max="21" width="16" customWidth="1"/>
    <x:col min="22" max="22" width="34" customWidth="1"/>
  </x:cols>
  <x:sheetData>
    <x:row r="1">
      <x:c r="A1" s="1" t="inlineStr">
        <x:is>
          <x:t xml:space="preserve">STARTER BUILDS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</x:row>
    <x:row r="2">
      <x:c r="A2" s="2" t="inlineStr">
        <x:is>
          <x:t xml:space="preserve">BuildID</x:t>
        </x:is>
      </x:c>
      <x:c r="B2" s="2" t="inlineStr">
        <x:is>
          <x:t xml:space="preserve">DisplayName</x:t>
        </x:is>
      </x:c>
      <x:c r="C2" s="2" t="inlineStr">
        <x:is>
          <x:t xml:space="preserve">ClassID</x:t>
        </x:is>
      </x:c>
      <x:c r="D2" s="2" t="inlineStr">
        <x:is>
          <x:t xml:space="preserve">WeaponID</x:t>
        </x:is>
      </x:c>
      <x:c r="E2" s="2" t="inlineStr">
        <x:is>
          <x:t xml:space="preserve">OffhandID</x:t>
        </x:is>
      </x:c>
      <x:c r="F2" s="2" t="inlineStr">
        <x:is>
          <x:t xml:space="preserve">ArmorID</x:t>
        </x:is>
      </x:c>
      <x:c r="G2" s="2" t="inlineStr">
        <x:is>
          <x:t xml:space="preserve">AccessoryID</x:t>
        </x:is>
      </x:c>
      <x:c r="H2" s="2" t="inlineStr">
        <x:is>
          <x:t xml:space="preserve">BonusHP</x:t>
        </x:is>
      </x:c>
      <x:c r="I2" s="2" t="inlineStr">
        <x:is>
          <x:t xml:space="preserve">BonusSTA</x:t>
        </x:is>
      </x:c>
      <x:c r="J2" s="2" t="inlineStr">
        <x:is>
          <x:t xml:space="preserve">BonusATK</x:t>
        </x:is>
      </x:c>
      <x:c r="K2" s="2" t="inlineStr">
        <x:is>
          <x:t xml:space="preserve">BonusDEF</x:t>
        </x:is>
      </x:c>
      <x:c r="L2" s="2" t="inlineStr">
        <x:is>
          <x:t xml:space="preserve">BonusSPD</x:t>
        </x:is>
      </x:c>
      <x:c r="M2" s="2" t="inlineStr">
        <x:is>
          <x:t xml:space="preserve">BonusSKL</x:t>
        </x:is>
      </x:c>
      <x:c r="N2" s="2" t="inlineStr">
        <x:is>
          <x:t xml:space="preserve">FinalHP</x:t>
        </x:is>
      </x:c>
      <x:c r="O2" s="2" t="inlineStr">
        <x:is>
          <x:t xml:space="preserve">FinalSTA</x:t>
        </x:is>
      </x:c>
      <x:c r="P2" s="2" t="inlineStr">
        <x:is>
          <x:t xml:space="preserve">FinalATK</x:t>
        </x:is>
      </x:c>
      <x:c r="Q2" s="2" t="inlineStr">
        <x:is>
          <x:t xml:space="preserve">FinalDEF</x:t>
        </x:is>
      </x:c>
      <x:c r="R2" s="2" t="inlineStr">
        <x:is>
          <x:t xml:space="preserve">FinalSPD</x:t>
        </x:is>
      </x:c>
      <x:c r="S2" s="2" t="inlineStr">
        <x:is>
          <x:t xml:space="preserve">FinalSKL</x:t>
        </x:is>
      </x:c>
      <x:c r="T2" s="2" t="inlineStr">
        <x:is>
          <x:t xml:space="preserve">TotalHitModPct</x:t>
        </x:is>
      </x:c>
      <x:c r="U2" s="2" t="inlineStr">
        <x:is>
          <x:t xml:space="preserve">TotalCritModPct</x:t>
        </x:is>
      </x:c>
      <x:c r="V2" s="2" t="inlineStr">
        <x:is>
          <x:t xml:space="preserve">Notes</x:t>
        </x:is>
      </x:c>
    </x:row>
    <x:row r="3" ht="30" customHeight="1">
      <x:c r="A3" s="7" t="inlineStr">
        <x:is>
          <x:t xml:space="preserve">RET_STARTER</x:t>
        </x:is>
      </x:c>
      <x:c r="B3" s="3" t="inlineStr">
        <x:is>
          <x:t xml:space="preserve">Retiarius Starter</x:t>
        </x:is>
      </x:c>
      <x:c r="C3" s="3" t="inlineStr">
        <x:is>
          <x:t xml:space="preserve">RETIARIUS</x:t>
        </x:is>
      </x:c>
      <x:c r="D3" s="3" t="inlineStr">
        <x:is>
          <x:t xml:space="preserve">TRIDENT_START</x:t>
        </x:is>
      </x:c>
      <x:c r="E3" s="3" t="inlineStr">
        <x:is>
          <x:t xml:space="preserve">NET_START</x:t>
        </x:is>
      </x:c>
      <x:c r="F3" s="3" t="inlineStr">
        <x:is>
          <x:t xml:space="preserve">LIGHT_ARMOR</x:t>
        </x:is>
      </x:c>
      <x:c r="G3" s="3" t="inlineStr">
        <x:is>
          <x:t xml:space="preserve"/>
        </x:is>
      </x:c>
      <x:c r="H3" s="12" t="n">
        <x:v>0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3">
        <x:f>INDEX(Classes!$D$3:$D$6,MATCH($C3,Classes!$A$3:$A$6,0))+IFERROR(INDEX(Equipment!$I$3:$I$11,MATCH($D3,Equipment!$A$3:$A$11,0)),0)+IFERROR(INDEX(Equipment!$I$3:$I$11,MATCH($E3,Equipment!$A$3:$A$11,0)),0)+IFERROR(INDEX(Equipment!$I$3:$I$11,MATCH($F3,Equipment!$A$3:$A$11,0)),0)+IFERROR(INDEX(Equipment!$I$3:$I$11,MATCH($G3,Equipment!$A$3:$A$11,0)),0)+$H3</x:f>
        <x:v>22</x:v>
      </x:c>
      <x:c r="O3" s="13">
        <x:f>INDEX(Classes!$E$3:$E$6,MATCH($C3,Classes!$A$3:$A$6,0))+IFERROR(INDEX(Equipment!$J$3:$J$11,MATCH($D3,Equipment!$A$3:$A$11,0)),0)+IFERROR(INDEX(Equipment!$J$3:$J$11,MATCH($E3,Equipment!$A$3:$A$11,0)),0)+IFERROR(INDEX(Equipment!$J$3:$J$11,MATCH($F3,Equipment!$A$3:$A$11,0)),0)+IFERROR(INDEX(Equipment!$J$3:$J$11,MATCH($G3,Equipment!$A$3:$A$11,0)),0)+$I3</x:f>
        <x:v>10</x:v>
      </x:c>
      <x:c r="P3" s="13">
        <x:f>INDEX(Classes!$F$3:$F$6,MATCH($C3,Classes!$A$3:$A$6,0))+IFERROR(INDEX(Equipment!$E$3:$E$11,MATCH($D3,Equipment!$A$3:$A$11,0)),0)+IFERROR(INDEX(Equipment!$E$3:$E$11,MATCH($E3,Equipment!$A$3:$A$11,0)),0)+IFERROR(INDEX(Equipment!$E$3:$E$11,MATCH($F3,Equipment!$A$3:$A$11,0)),0)+IFERROR(INDEX(Equipment!$E$3:$E$11,MATCH($G3,Equipment!$A$3:$A$11,0)),0)+$J3</x:f>
        <x:v>8</x:v>
      </x:c>
      <x:c r="Q3" s="13">
        <x:f>INDEX(Classes!$G$3:$G$6,MATCH($C3,Classes!$A$3:$A$6,0))+IFERROR(INDEX(Equipment!$F$3:$F$11,MATCH($D3,Equipment!$A$3:$A$11,0)),0)+IFERROR(INDEX(Equipment!$F$3:$F$11,MATCH($E3,Equipment!$A$3:$A$11,0)),0)+IFERROR(INDEX(Equipment!$F$3:$F$11,MATCH($F3,Equipment!$A$3:$A$11,0)),0)+IFERROR(INDEX(Equipment!$F$3:$F$11,MATCH($G3,Equipment!$A$3:$A$11,0)),0)+$K3</x:f>
        <x:v>4</x:v>
      </x:c>
      <x:c r="R3" s="13">
        <x:f>INDEX(Classes!$H$3:$H$6,MATCH($C3,Classes!$A$3:$A$6,0))+IFERROR(INDEX(Equipment!$G$3:$G$11,MATCH($D3,Equipment!$A$3:$A$11,0)),0)+IFERROR(INDEX(Equipment!$G$3:$G$11,MATCH($E3,Equipment!$A$3:$A$11,0)),0)+IFERROR(INDEX(Equipment!$G$3:$G$11,MATCH($F3,Equipment!$A$3:$A$11,0)),0)+IFERROR(INDEX(Equipment!$G$3:$G$11,MATCH($G3,Equipment!$A$3:$A$11,0)),0)+$L3</x:f>
        <x:v>8</x:v>
      </x:c>
      <x:c r="S3" s="13">
        <x:f>INDEX(Classes!$I$3:$I$6,MATCH($C3,Classes!$A$3:$A$6,0))+IFERROR(INDEX(Equipment!$H$3:$H$11,MATCH($D3,Equipment!$A$3:$A$11,0)),0)+IFERROR(INDEX(Equipment!$H$3:$H$11,MATCH($E3,Equipment!$A$3:$A$11,0)),0)+IFERROR(INDEX(Equipment!$H$3:$H$11,MATCH($F3,Equipment!$A$3:$A$11,0)),0)+IFERROR(INDEX(Equipment!$H$3:$H$11,MATCH($G3,Equipment!$A$3:$A$11,0)),0)+$M3</x:f>
        <x:v>9</x:v>
      </x:c>
      <x:c r="T3" s="14">
        <x:f>IFERROR(INDEX(Equipment!$K$3:$K$11,MATCH($D3,Equipment!$A$3:$A$11,0)),0)+IFERROR(INDEX(Equipment!$K$3:$K$11,MATCH($E3,Equipment!$A$3:$A$11,0)),0)+IFERROR(INDEX(Equipment!$K$3:$K$11,MATCH($F3,Equipment!$A$3:$A$11,0)),0)+IFERROR(INDEX(Equipment!$K$3:$K$11,MATCH($G3,Equipment!$A$3:$A$11,0)),0)</x:f>
        <x:v>0.1</x:v>
      </x:c>
      <x:c r="U3" s="14">
        <x:f>IFERROR(INDEX(Equipment!$L$3:$L$11,MATCH($D3,Equipment!$A$3:$A$11,0)),0)+IFERROR(INDEX(Equipment!$L$3:$L$11,MATCH($E3,Equipment!$A$3:$A$11,0)),0)+IFERROR(INDEX(Equipment!$L$3:$L$11,MATCH($F3,Equipment!$A$3:$A$11,0)),0)+IFERROR(INDEX(Equipment!$L$3:$L$11,MATCH($G3,Equipment!$A$3:$A$11,0)),0)</x:f>
        <x:v>0</x:v>
      </x:c>
      <x:c r="V3" s="3" t="inlineStr">
        <x:is>
          <x:t xml:space="preserve">Starter duel build.</x:t>
        </x:is>
      </x:c>
    </x:row>
    <x:row r="4" ht="30" customHeight="1">
      <x:c r="A4" s="7" t="inlineStr">
        <x:is>
          <x:t xml:space="preserve">SEC_STARTER</x:t>
        </x:is>
      </x:c>
      <x:c r="B4" s="3" t="inlineStr">
        <x:is>
          <x:t xml:space="preserve">Secutor Starter</x:t>
        </x:is>
      </x:c>
      <x:c r="C4" s="3" t="inlineStr">
        <x:is>
          <x:t xml:space="preserve">SECUTOR</x:t>
        </x:is>
      </x:c>
      <x:c r="D4" s="3" t="inlineStr">
        <x:is>
          <x:t xml:space="preserve">GLADIUS_START</x:t>
        </x:is>
      </x:c>
      <x:c r="E4" s="3" t="inlineStr">
        <x:is>
          <x:t xml:space="preserve">TOWER_SHIELD_START</x:t>
        </x:is>
      </x:c>
      <x:c r="F4" s="3" t="inlineStr">
        <x:is>
          <x:t xml:space="preserve">HEAVY_HELM</x:t>
        </x:is>
      </x:c>
      <x:c r="G4" s="3" t="inlineStr">
        <x:is>
          <x:t xml:space="preserve"/>
        </x:is>
      </x:c>
      <x:c r="H4" s="12" t="n">
        <x:v>0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2" t="n">
        <x:v>0</x:v>
      </x:c>
      <x:c r="N4" s="13">
        <x:f>INDEX(Classes!$D$3:$D$6,MATCH($C4,Classes!$A$3:$A$6,0))+IFERROR(INDEX(Equipment!$I$3:$I$11,MATCH($D4,Equipment!$A$3:$A$11,0)),0)+IFERROR(INDEX(Equipment!$I$3:$I$11,MATCH($E4,Equipment!$A$3:$A$11,0)),0)+IFERROR(INDEX(Equipment!$I$3:$I$11,MATCH($F4,Equipment!$A$3:$A$11,0)),0)+IFERROR(INDEX(Equipment!$I$3:$I$11,MATCH($G4,Equipment!$A$3:$A$11,0)),0)+$H4</x:f>
        <x:v>26</x:v>
      </x:c>
      <x:c r="O4" s="13">
        <x:f>INDEX(Classes!$E$3:$E$6,MATCH($C4,Classes!$A$3:$A$6,0))+IFERROR(INDEX(Equipment!$J$3:$J$11,MATCH($D4,Equipment!$A$3:$A$11,0)),0)+IFERROR(INDEX(Equipment!$J$3:$J$11,MATCH($E4,Equipment!$A$3:$A$11,0)),0)+IFERROR(INDEX(Equipment!$J$3:$J$11,MATCH($F4,Equipment!$A$3:$A$11,0)),0)+IFERROR(INDEX(Equipment!$J$3:$J$11,MATCH($G4,Equipment!$A$3:$A$11,0)),0)+$I4</x:f>
        <x:v>9</x:v>
      </x:c>
      <x:c r="P4" s="13">
        <x:f>INDEX(Classes!$F$3:$F$6,MATCH($C4,Classes!$A$3:$A$6,0))+IFERROR(INDEX(Equipment!$E$3:$E$11,MATCH($D4,Equipment!$A$3:$A$11,0)),0)+IFERROR(INDEX(Equipment!$E$3:$E$11,MATCH($E4,Equipment!$A$3:$A$11,0)),0)+IFERROR(INDEX(Equipment!$E$3:$E$11,MATCH($F4,Equipment!$A$3:$A$11,0)),0)+IFERROR(INDEX(Equipment!$E$3:$E$11,MATCH($G4,Equipment!$A$3:$A$11,0)),0)+$J4</x:f>
        <x:v>9</x:v>
      </x:c>
      <x:c r="Q4" s="13">
        <x:f>INDEX(Classes!$G$3:$G$6,MATCH($C4,Classes!$A$3:$A$6,0))+IFERROR(INDEX(Equipment!$F$3:$F$11,MATCH($D4,Equipment!$A$3:$A$11,0)),0)+IFERROR(INDEX(Equipment!$F$3:$F$11,MATCH($E4,Equipment!$A$3:$A$11,0)),0)+IFERROR(INDEX(Equipment!$F$3:$F$11,MATCH($F4,Equipment!$A$3:$A$11,0)),0)+IFERROR(INDEX(Equipment!$F$3:$F$11,MATCH($G4,Equipment!$A$3:$A$11,0)),0)+$K4</x:f>
        <x:v>10</x:v>
      </x:c>
      <x:c r="R4" s="13">
        <x:f>INDEX(Classes!$H$3:$H$6,MATCH($C4,Classes!$A$3:$A$6,0))+IFERROR(INDEX(Equipment!$G$3:$G$11,MATCH($D4,Equipment!$A$3:$A$11,0)),0)+IFERROR(INDEX(Equipment!$G$3:$G$11,MATCH($E4,Equipment!$A$3:$A$11,0)),0)+IFERROR(INDEX(Equipment!$G$3:$G$11,MATCH($F4,Equipment!$A$3:$A$11,0)),0)+IFERROR(INDEX(Equipment!$G$3:$G$11,MATCH($G4,Equipment!$A$3:$A$11,0)),0)+$L4</x:f>
        <x:v>3</x:v>
      </x:c>
      <x:c r="S4" s="13">
        <x:f>INDEX(Classes!$I$3:$I$6,MATCH($C4,Classes!$A$3:$A$6,0))+IFERROR(INDEX(Equipment!$H$3:$H$11,MATCH($D4,Equipment!$A$3:$A$11,0)),0)+IFERROR(INDEX(Equipment!$H$3:$H$11,MATCH($E4,Equipment!$A$3:$A$11,0)),0)+IFERROR(INDEX(Equipment!$H$3:$H$11,MATCH($F4,Equipment!$A$3:$A$11,0)),0)+IFERROR(INDEX(Equipment!$H$3:$H$11,MATCH($G4,Equipment!$A$3:$A$11,0)),0)+$M4</x:f>
        <x:v>5</x:v>
      </x:c>
      <x:c r="T4" s="14">
        <x:f>IFERROR(INDEX(Equipment!$K$3:$K$11,MATCH($D4,Equipment!$A$3:$A$11,0)),0)+IFERROR(INDEX(Equipment!$K$3:$K$11,MATCH($E4,Equipment!$A$3:$A$11,0)),0)+IFERROR(INDEX(Equipment!$K$3:$K$11,MATCH($F4,Equipment!$A$3:$A$11,0)),0)+IFERROR(INDEX(Equipment!$K$3:$K$11,MATCH($G4,Equipment!$A$3:$A$11,0)),0)</x:f>
        <x:v>0</x:v>
      </x:c>
      <x:c r="U4" s="14">
        <x:f>IFERROR(INDEX(Equipment!$L$3:$L$11,MATCH($D4,Equipment!$A$3:$A$11,0)),0)+IFERROR(INDEX(Equipment!$L$3:$L$11,MATCH($E4,Equipment!$A$3:$A$11,0)),0)+IFERROR(INDEX(Equipment!$L$3:$L$11,MATCH($F4,Equipment!$A$3:$A$11,0)),0)+IFERROR(INDEX(Equipment!$L$3:$L$11,MATCH($G4,Equipment!$A$3:$A$11,0)),0)</x:f>
        <x:v>0</x:v>
      </x:c>
      <x:c r="V4" s="3" t="inlineStr">
        <x:is>
          <x:t xml:space="preserve">Starter duel build.</x:t>
        </x:is>
      </x:c>
    </x:row>
    <x:row r="5" ht="30" customHeight="1">
      <x:c r="A5" s="7" t="inlineStr">
        <x:is>
          <x:t xml:space="preserve">MUR_STARTER</x:t>
        </x:is>
      </x:c>
      <x:c r="B5" s="3" t="inlineStr">
        <x:is>
          <x:t xml:space="preserve">Murmillo Starter</x:t>
        </x:is>
      </x:c>
      <x:c r="C5" s="3" t="inlineStr">
        <x:is>
          <x:t xml:space="preserve">MURMILLO</x:t>
        </x:is>
      </x:c>
      <x:c r="D5" s="3" t="inlineStr">
        <x:is>
          <x:t xml:space="preserve">GLADIUS_START</x:t>
        </x:is>
      </x:c>
      <x:c r="E5" s="3" t="inlineStr">
        <x:is>
          <x:t xml:space="preserve">SCUTUM_START</x:t>
        </x:is>
      </x:c>
      <x:c r="F5" s="3" t="inlineStr">
        <x:is>
          <x:t xml:space="preserve">LIGHT_ARMOR</x:t>
        </x:is>
      </x:c>
      <x:c r="G5" s="3" t="inlineStr">
        <x:is>
          <x:t xml:space="preserve"/>
        </x:is>
      </x:c>
      <x:c r="H5" s="12" t="n">
        <x:v>0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2" t="n">
        <x:v>0</x:v>
      </x:c>
      <x:c r="N5" s="13">
        <x:f>INDEX(Classes!$D$3:$D$6,MATCH($C5,Classes!$A$3:$A$6,0))+IFERROR(INDEX(Equipment!$I$3:$I$11,MATCH($D5,Equipment!$A$3:$A$11,0)),0)+IFERROR(INDEX(Equipment!$I$3:$I$11,MATCH($E5,Equipment!$A$3:$A$11,0)),0)+IFERROR(INDEX(Equipment!$I$3:$I$11,MATCH($F5,Equipment!$A$3:$A$11,0)),0)+IFERROR(INDEX(Equipment!$I$3:$I$11,MATCH($G5,Equipment!$A$3:$A$11,0)),0)+$H5</x:f>
        <x:v>28</x:v>
      </x:c>
      <x:c r="O5" s="13">
        <x:f>INDEX(Classes!$E$3:$E$6,MATCH($C5,Classes!$A$3:$A$6,0))+IFERROR(INDEX(Equipment!$J$3:$J$11,MATCH($D5,Equipment!$A$3:$A$11,0)),0)+IFERROR(INDEX(Equipment!$J$3:$J$11,MATCH($E5,Equipment!$A$3:$A$11,0)),0)+IFERROR(INDEX(Equipment!$J$3:$J$11,MATCH($F5,Equipment!$A$3:$A$11,0)),0)+IFERROR(INDEX(Equipment!$J$3:$J$11,MATCH($G5,Equipment!$A$3:$A$11,0)),0)+$I5</x:f>
        <x:v>8</x:v>
      </x:c>
      <x:c r="P5" s="13">
        <x:f>INDEX(Classes!$F$3:$F$6,MATCH($C5,Classes!$A$3:$A$6,0))+IFERROR(INDEX(Equipment!$E$3:$E$11,MATCH($D5,Equipment!$A$3:$A$11,0)),0)+IFERROR(INDEX(Equipment!$E$3:$E$11,MATCH($E5,Equipment!$A$3:$A$11,0)),0)+IFERROR(INDEX(Equipment!$E$3:$E$11,MATCH($F5,Equipment!$A$3:$A$11,0)),0)+IFERROR(INDEX(Equipment!$E$3:$E$11,MATCH($G5,Equipment!$A$3:$A$11,0)),0)+$J5</x:f>
        <x:v>10</x:v>
      </x:c>
      <x:c r="Q5" s="13">
        <x:f>INDEX(Classes!$G$3:$G$6,MATCH($C5,Classes!$A$3:$A$6,0))+IFERROR(INDEX(Equipment!$F$3:$F$11,MATCH($D5,Equipment!$A$3:$A$11,0)),0)+IFERROR(INDEX(Equipment!$F$3:$F$11,MATCH($E5,Equipment!$A$3:$A$11,0)),0)+IFERROR(INDEX(Equipment!$F$3:$F$11,MATCH($F5,Equipment!$A$3:$A$11,0)),0)+IFERROR(INDEX(Equipment!$F$3:$F$11,MATCH($G5,Equipment!$A$3:$A$11,0)),0)+$K5</x:f>
        <x:v>11</x:v>
      </x:c>
      <x:c r="R5" s="13">
        <x:f>INDEX(Classes!$H$3:$H$6,MATCH($C5,Classes!$A$3:$A$6,0))+IFERROR(INDEX(Equipment!$G$3:$G$11,MATCH($D5,Equipment!$A$3:$A$11,0)),0)+IFERROR(INDEX(Equipment!$G$3:$G$11,MATCH($E5,Equipment!$A$3:$A$11,0)),0)+IFERROR(INDEX(Equipment!$G$3:$G$11,MATCH($F5,Equipment!$A$3:$A$11,0)),0)+IFERROR(INDEX(Equipment!$G$3:$G$11,MATCH($G5,Equipment!$A$3:$A$11,0)),0)+$L5</x:f>
        <x:v>1</x:v>
      </x:c>
      <x:c r="S5" s="13">
        <x:f>INDEX(Classes!$I$3:$I$6,MATCH($C5,Classes!$A$3:$A$6,0))+IFERROR(INDEX(Equipment!$H$3:$H$11,MATCH($D5,Equipment!$A$3:$A$11,0)),0)+IFERROR(INDEX(Equipment!$H$3:$H$11,MATCH($E5,Equipment!$A$3:$A$11,0)),0)+IFERROR(INDEX(Equipment!$H$3:$H$11,MATCH($F5,Equipment!$A$3:$A$11,0)),0)+IFERROR(INDEX(Equipment!$H$3:$H$11,MATCH($G5,Equipment!$A$3:$A$11,0)),0)+$M5</x:f>
        <x:v>4</x:v>
      </x:c>
      <x:c r="T5" s="14">
        <x:f>IFERROR(INDEX(Equipment!$K$3:$K$11,MATCH($D5,Equipment!$A$3:$A$11,0)),0)+IFERROR(INDEX(Equipment!$K$3:$K$11,MATCH($E5,Equipment!$A$3:$A$11,0)),0)+IFERROR(INDEX(Equipment!$K$3:$K$11,MATCH($F5,Equipment!$A$3:$A$11,0)),0)+IFERROR(INDEX(Equipment!$K$3:$K$11,MATCH($G5,Equipment!$A$3:$A$11,0)),0)</x:f>
        <x:v>0</x:v>
      </x:c>
      <x:c r="U5" s="14">
        <x:f>IFERROR(INDEX(Equipment!$L$3:$L$11,MATCH($D5,Equipment!$A$3:$A$11,0)),0)+IFERROR(INDEX(Equipment!$L$3:$L$11,MATCH($E5,Equipment!$A$3:$A$11,0)),0)+IFERROR(INDEX(Equipment!$L$3:$L$11,MATCH($F5,Equipment!$A$3:$A$11,0)),0)+IFERROR(INDEX(Equipment!$L$3:$L$11,MATCH($G5,Equipment!$A$3:$A$11,0)),0)</x:f>
        <x:v>0</x:v>
      </x:c>
      <x:c r="V5" s="3" t="inlineStr">
        <x:is>
          <x:t xml:space="preserve">Reference bruiser build.</x:t>
        </x:is>
      </x:c>
    </x:row>
    <x:row r="6" ht="30" customHeight="1">
      <x:c r="A6" s="7" t="inlineStr">
        <x:is>
          <x:t xml:space="preserve">THR_STARTER</x:t>
        </x:is>
      </x:c>
      <x:c r="B6" s="3" t="inlineStr">
        <x:is>
          <x:t xml:space="preserve">Thracian Starter</x:t>
        </x:is>
      </x:c>
      <x:c r="C6" s="3" t="inlineStr">
        <x:is>
          <x:t xml:space="preserve">THRACIAN</x:t>
        </x:is>
      </x:c>
      <x:c r="D6" s="3" t="inlineStr">
        <x:is>
          <x:t xml:space="preserve">SICA_START</x:t>
        </x:is>
      </x:c>
      <x:c r="E6" s="3" t="inlineStr">
        <x:is>
          <x:t xml:space="preserve">BUCKLER_START</x:t>
        </x:is>
      </x:c>
      <x:c r="F6" s="3" t="inlineStr">
        <x:is>
          <x:t xml:space="preserve">LIGHT_ARMOR</x:t>
        </x:is>
      </x:c>
      <x:c r="G6" s="3" t="inlineStr">
        <x:is>
          <x:t xml:space="preserve"/>
        </x:is>
      </x:c>
      <x:c r="H6" s="12" t="n">
        <x:v>0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2" t="n">
        <x:v>0</x:v>
      </x:c>
      <x:c r="N6" s="13">
        <x:f>INDEX(Classes!$D$3:$D$6,MATCH($C6,Classes!$A$3:$A$6,0))+IFERROR(INDEX(Equipment!$I$3:$I$11,MATCH($D6,Equipment!$A$3:$A$11,0)),0)+IFERROR(INDEX(Equipment!$I$3:$I$11,MATCH($E6,Equipment!$A$3:$A$11,0)),0)+IFERROR(INDEX(Equipment!$I$3:$I$11,MATCH($F6,Equipment!$A$3:$A$11,0)),0)+IFERROR(INDEX(Equipment!$I$3:$I$11,MATCH($G6,Equipment!$A$3:$A$11,0)),0)+$H6</x:f>
        <x:v>24</x:v>
      </x:c>
      <x:c r="O6" s="13">
        <x:f>INDEX(Classes!$E$3:$E$6,MATCH($C6,Classes!$A$3:$A$6,0))+IFERROR(INDEX(Equipment!$J$3:$J$11,MATCH($D6,Equipment!$A$3:$A$11,0)),0)+IFERROR(INDEX(Equipment!$J$3:$J$11,MATCH($E6,Equipment!$A$3:$A$11,0)),0)+IFERROR(INDEX(Equipment!$J$3:$J$11,MATCH($F6,Equipment!$A$3:$A$11,0)),0)+IFERROR(INDEX(Equipment!$J$3:$J$11,MATCH($G6,Equipment!$A$3:$A$11,0)),0)+$I6</x:f>
        <x:v>10</x:v>
      </x:c>
      <x:c r="P6" s="13">
        <x:f>INDEX(Classes!$F$3:$F$6,MATCH($C6,Classes!$A$3:$A$6,0))+IFERROR(INDEX(Equipment!$E$3:$E$11,MATCH($D6,Equipment!$A$3:$A$11,0)),0)+IFERROR(INDEX(Equipment!$E$3:$E$11,MATCH($E6,Equipment!$A$3:$A$11,0)),0)+IFERROR(INDEX(Equipment!$E$3:$E$11,MATCH($F6,Equipment!$A$3:$A$11,0)),0)+IFERROR(INDEX(Equipment!$E$3:$E$11,MATCH($G6,Equipment!$A$3:$A$11,0)),0)+$J6</x:f>
        <x:v>9</x:v>
      </x:c>
      <x:c r="Q6" s="13">
        <x:f>INDEX(Classes!$G$3:$G$6,MATCH($C6,Classes!$A$3:$A$6,0))+IFERROR(INDEX(Equipment!$F$3:$F$11,MATCH($D6,Equipment!$A$3:$A$11,0)),0)+IFERROR(INDEX(Equipment!$F$3:$F$11,MATCH($E6,Equipment!$A$3:$A$11,0)),0)+IFERROR(INDEX(Equipment!$F$3:$F$11,MATCH($F6,Equipment!$A$3:$A$11,0)),0)+IFERROR(INDEX(Equipment!$F$3:$F$11,MATCH($G6,Equipment!$A$3:$A$11,0)),0)+$K6</x:f>
        <x:v>6</x:v>
      </x:c>
      <x:c r="R6" s="13">
        <x:f>INDEX(Classes!$H$3:$H$6,MATCH($C6,Classes!$A$3:$A$6,0))+IFERROR(INDEX(Equipment!$G$3:$G$11,MATCH($D6,Equipment!$A$3:$A$11,0)),0)+IFERROR(INDEX(Equipment!$G$3:$G$11,MATCH($E6,Equipment!$A$3:$A$11,0)),0)+IFERROR(INDEX(Equipment!$G$3:$G$11,MATCH($F6,Equipment!$A$3:$A$11,0)),0)+IFERROR(INDEX(Equipment!$G$3:$G$11,MATCH($G6,Equipment!$A$3:$A$11,0)),0)+$L6</x:f>
        <x:v>8</x:v>
      </x:c>
      <x:c r="S6" s="13">
        <x:f>INDEX(Classes!$I$3:$I$6,MATCH($C6,Classes!$A$3:$A$6,0))+IFERROR(INDEX(Equipment!$H$3:$H$11,MATCH($D6,Equipment!$A$3:$A$11,0)),0)+IFERROR(INDEX(Equipment!$H$3:$H$11,MATCH($E6,Equipment!$A$3:$A$11,0)),0)+IFERROR(INDEX(Equipment!$H$3:$H$11,MATCH($F6,Equipment!$A$3:$A$11,0)),0)+IFERROR(INDEX(Equipment!$H$3:$H$11,MATCH($G6,Equipment!$A$3:$A$11,0)),0)+$M6</x:f>
        <x:v>6</x:v>
      </x:c>
      <x:c r="T6" s="14">
        <x:f>IFERROR(INDEX(Equipment!$K$3:$K$11,MATCH($D6,Equipment!$A$3:$A$11,0)),0)+IFERROR(INDEX(Equipment!$K$3:$K$11,MATCH($E6,Equipment!$A$3:$A$11,0)),0)+IFERROR(INDEX(Equipment!$K$3:$K$11,MATCH($F6,Equipment!$A$3:$A$11,0)),0)+IFERROR(INDEX(Equipment!$K$3:$K$11,MATCH($G6,Equipment!$A$3:$A$11,0)),0)</x:f>
        <x:v>0</x:v>
      </x:c>
      <x:c r="U6" s="14">
        <x:f>IFERROR(INDEX(Equipment!$L$3:$L$11,MATCH($D6,Equipment!$A$3:$A$11,0)),0)+IFERROR(INDEX(Equipment!$L$3:$L$11,MATCH($E6,Equipment!$A$3:$A$11,0)),0)+IFERROR(INDEX(Equipment!$L$3:$L$11,MATCH($F6,Equipment!$A$3:$A$11,0)),0)+IFERROR(INDEX(Equipment!$L$3:$L$11,MATCH($G6,Equipment!$A$3:$A$11,0)),0)</x:f>
        <x:v>0.05</x:v>
      </x:c>
      <x:c r="V6" s="3" t="inlineStr">
        <x:is>
          <x:t xml:space="preserve">Reference skirmisher build.</x:t>
        </x:is>
      </x:c>
    </x:row>
    <x:row r="7">
      <x:c r="A7" s="4" t="n"/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</x:row>
    <x:row r="8" ht="34" customHeight="1">
      <x:c r="A8" s="9" t="inlineStr">
        <x:is>
          <x:t xml:space="preserve">Sample builds are intentionally sparse. Codex should load these definitions and let later content patches add traits, perks, and upgraded gear.</x:t>
        </x:is>
      </x:c>
    </x:row>
  </x:sheetData>
  <x:mergeCells>
    <x:mergeCell ref="A8:V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2" customWidth="1"/>
    <x:col min="3" max="3" width="16" customWidth="1"/>
    <x:col min="4" max="4" width="6" customWidth="1"/>
    <x:col min="5" max="5" width="30" customWidth="1"/>
    <x:col min="6" max="6" width="20" customWidth="1"/>
    <x:col min="7" max="7" width="16" customWidth="1"/>
  </x:cols>
  <x:sheetData>
    <x:row r="1">
      <x:c r="A1" s="1" t="inlineStr">
        <x:is>
          <x:t xml:space="preserve">1v1 COMBAT TEST HARNESS</x:t>
        </x:is>
      </x:c>
      <x:c r="B1" s="1" t="n"/>
      <x:c r="C1" s="1" t="n"/>
      <x:c r="D1" s="1" t="n"/>
      <x:c r="E1" s="1" t="n"/>
      <x:c r="F1" s="1" t="n"/>
      <x:c r="G1" s="1" t="n"/>
    </x:row>
    <x:row r="2">
      <x:c r="A2" s="4" t="n"/>
      <x:c r="B2" s="4" t="n"/>
      <x:c r="C2" s="4" t="n"/>
      <x:c r="D2" s="4" t="n"/>
      <x:c r="E2" s="4" t="n"/>
      <x:c r="F2" s="4" t="n"/>
      <x:c r="G2" s="4" t="n"/>
    </x:row>
    <x:row r="3" ht="24" customHeight="1">
      <x:c r="A3" s="2" t="inlineStr">
        <x:is>
          <x:t xml:space="preserve">Attacker BuildID</x:t>
        </x:is>
      </x:c>
      <x:c r="B3" s="5" t="inlineStr">
        <x:is>
          <x:t xml:space="preserve">RET_STARTER</x:t>
        </x:is>
      </x:c>
      <x:c r="C3" s="4" t="n"/>
      <x:c r="D3" s="4" t="n"/>
      <x:c r="E3" s="4" t="n"/>
      <x:c r="F3" s="4" t="n"/>
      <x:c r="G3" s="4" t="n"/>
    </x:row>
    <x:row r="4" ht="24" customHeight="1">
      <x:c r="A4" s="2" t="inlineStr">
        <x:is>
          <x:t xml:space="preserve">Defender BuildID</x:t>
        </x:is>
      </x:c>
      <x:c r="B4" s="5" t="inlineStr">
        <x:is>
          <x:t xml:space="preserve">SEC_STARTER</x:t>
        </x:is>
      </x:c>
      <x:c r="C4" s="4" t="n"/>
      <x:c r="D4" s="4" t="n"/>
      <x:c r="E4" s="4" t="n"/>
      <x:c r="F4" s="4" t="n"/>
      <x:c r="G4" s="4" t="n"/>
    </x:row>
    <x:row r="5" ht="24" customHeight="1">
      <x:c r="A5" s="2" t="inlineStr">
        <x:is>
          <x:t xml:space="preserve">Selected SkillID</x:t>
        </x:is>
      </x:c>
      <x:c r="B5" s="5" t="inlineStr">
        <x:is>
          <x:t xml:space="preserve">BASIC_ATTACK</x:t>
        </x:is>
      </x:c>
      <x:c r="C5" s="4" t="n"/>
      <x:c r="D5" s="4" t="n"/>
      <x:c r="E5" s="4" t="n"/>
      <x:c r="F5" s="4" t="n"/>
      <x:c r="G5" s="4" t="n"/>
    </x:row>
    <x:row r="6" ht="24" customHeight="1">
      <x:c r="A6" s="2" t="inlineStr">
        <x:is>
          <x:t xml:space="preserve">DefenderTempDefBonus</x:t>
        </x:is>
      </x:c>
      <x:c r="B6" s="12" t="n">
        <x:v>0</x:v>
      </x:c>
      <x:c r="C6" s="4" t="n"/>
      <x:c r="D6" s="4" t="n"/>
      <x:c r="E6" s="4" t="n"/>
      <x:c r="F6" s="4" t="n"/>
      <x:c r="G6" s="4" t="n"/>
    </x:row>
    <x:row r="7" ht="24" customHeight="1">
      <x:c r="A7" s="2" t="inlineStr">
        <x:is>
          <x:t xml:space="preserve">Current Attacker STA</x:t>
        </x:is>
      </x:c>
      <x:c r="B7" s="13">
        <x:f>INDEX(Sample_Builds!$O$3:$O$6,MATCH($B$3,Sample_Builds!$A$3:$A$6,0))</x:f>
        <x:v>10</x:v>
      </x:c>
      <x:c r="C7" s="4" t="n"/>
      <x:c r="D7" s="4" t="n"/>
      <x:c r="E7" s="4" t="n"/>
      <x:c r="F7" s="4" t="n"/>
      <x:c r="G7" s="4" t="n"/>
    </x:row>
    <x:row r="8">
      <x:c r="A8" s="4" t="n"/>
      <x:c r="B8" s="4" t="n"/>
      <x:c r="C8" s="4" t="n"/>
      <x:c r="D8" s="4" t="n"/>
      <x:c r="E8" s="4" t="n"/>
      <x:c r="F8" s="4" t="n"/>
      <x:c r="G8" s="4" t="n"/>
    </x:row>
    <x:row r="9">
      <x:c r="A9" s="1" t="inlineStr">
        <x:is>
          <x:t xml:space="preserve">ATTACKER SNAPSHOT</x:t>
        </x:is>
      </x:c>
      <x:c r="B9" s="1" t="n"/>
      <x:c r="C9" s="1" t="n"/>
      <x:c r="D9" s="4" t="n"/>
      <x:c r="E9" s="1" t="inlineStr">
        <x:is>
          <x:t xml:space="preserve">DEFENDER SNAPSHOT</x:t>
        </x:is>
      </x:c>
      <x:c r="F9" s="1" t="n"/>
      <x:c r="G9" s="1" t="n"/>
    </x:row>
    <x:row r="10" ht="24" customHeight="1">
      <x:c r="A10" s="2" t="inlineStr">
        <x:is>
          <x:t xml:space="preserve">DisplayName</x:t>
        </x:is>
      </x:c>
      <x:c r="B10" s="15" t="str">
        <x:f>INDEX(Sample_Builds!$B$3:$B$6,MATCH($B$3,Sample_Builds!$A$3:$A$6,0))</x:f>
        <x:v>Retiarius Starter</x:v>
      </x:c>
      <x:c r="C10" s="4" t="n"/>
      <x:c r="D10" s="4" t="n"/>
      <x:c r="E10" s="2" t="inlineStr">
        <x:is>
          <x:t xml:space="preserve">DisplayName</x:t>
        </x:is>
      </x:c>
      <x:c r="F10" s="15" t="str">
        <x:f>INDEX(Sample_Builds!$B$3:$B$6,MATCH($B$4,Sample_Builds!$A$3:$A$6,0))</x:f>
        <x:v>Secutor Starter</x:v>
      </x:c>
      <x:c r="G10" s="4" t="n"/>
    </x:row>
    <x:row r="11" ht="24" customHeight="1">
      <x:c r="A11" s="2" t="inlineStr">
        <x:is>
          <x:t xml:space="preserve">ClassID</x:t>
        </x:is>
      </x:c>
      <x:c r="B11" s="15" t="str">
        <x:f>INDEX(Sample_Builds!$C$3:$C$6,MATCH($B$3,Sample_Builds!$A$3:$A$6,0))</x:f>
        <x:v>RETIARIUS</x:v>
      </x:c>
      <x:c r="C11" s="4" t="n"/>
      <x:c r="D11" s="4" t="n"/>
      <x:c r="E11" s="2" t="inlineStr">
        <x:is>
          <x:t xml:space="preserve">ClassID</x:t>
        </x:is>
      </x:c>
      <x:c r="F11" s="15" t="str">
        <x:f>INDEX(Sample_Builds!$C$3:$C$6,MATCH($B$4,Sample_Builds!$A$3:$A$6,0))</x:f>
        <x:v>SECUTOR</x:v>
      </x:c>
      <x:c r="G11" s="4" t="n"/>
    </x:row>
    <x:row r="12" ht="24" customHeight="1">
      <x:c r="A12" s="2" t="inlineStr">
        <x:is>
          <x:t xml:space="preserve">HP</x:t>
        </x:is>
      </x:c>
      <x:c r="B12" s="13">
        <x:f>INDEX(Sample_Builds!$N$3:$N$6,MATCH($B$3,Sample_Builds!$A$3:$A$6,0))</x:f>
        <x:v>22</x:v>
      </x:c>
      <x:c r="C12" s="4" t="n"/>
      <x:c r="D12" s="4" t="n"/>
      <x:c r="E12" s="2" t="inlineStr">
        <x:is>
          <x:t xml:space="preserve">HP</x:t>
        </x:is>
      </x:c>
      <x:c r="F12" s="13">
        <x:f>INDEX(Sample_Builds!$N$3:$N$6,MATCH($B$4,Sample_Builds!$A$3:$A$6,0))</x:f>
        <x:v>26</x:v>
      </x:c>
      <x:c r="G12" s="4" t="n"/>
    </x:row>
    <x:row r="13" ht="24" customHeight="1">
      <x:c r="A13" s="2" t="inlineStr">
        <x:is>
          <x:t xml:space="preserve">STA</x:t>
        </x:is>
      </x:c>
      <x:c r="B13" s="13">
        <x:f>INDEX(Sample_Builds!$O$3:$O$6,MATCH($B$3,Sample_Builds!$A$3:$A$6,0))</x:f>
        <x:v>10</x:v>
      </x:c>
      <x:c r="C13" s="4" t="n"/>
      <x:c r="D13" s="4" t="n"/>
      <x:c r="E13" s="2" t="inlineStr">
        <x:is>
          <x:t xml:space="preserve">STA</x:t>
        </x:is>
      </x:c>
      <x:c r="F13" s="13">
        <x:f>INDEX(Sample_Builds!$O$3:$O$6,MATCH($B$4,Sample_Builds!$A$3:$A$6,0))</x:f>
        <x:v>9</x:v>
      </x:c>
      <x:c r="G13" s="4" t="n"/>
    </x:row>
    <x:row r="14" ht="24" customHeight="1">
      <x:c r="A14" s="2" t="inlineStr">
        <x:is>
          <x:t xml:space="preserve">ATK</x:t>
        </x:is>
      </x:c>
      <x:c r="B14" s="13">
        <x:f>INDEX(Sample_Builds!$P$3:$P$6,MATCH($B$3,Sample_Builds!$A$3:$A$6,0))</x:f>
        <x:v>8</x:v>
      </x:c>
      <x:c r="C14" s="4" t="n"/>
      <x:c r="D14" s="4" t="n"/>
      <x:c r="E14" s="2" t="inlineStr">
        <x:is>
          <x:t xml:space="preserve">ATK</x:t>
        </x:is>
      </x:c>
      <x:c r="F14" s="13">
        <x:f>INDEX(Sample_Builds!$P$3:$P$6,MATCH($B$4,Sample_Builds!$A$3:$A$6,0))</x:f>
        <x:v>9</x:v>
      </x:c>
      <x:c r="G14" s="4" t="n"/>
    </x:row>
    <x:row r="15" ht="24" customHeight="1">
      <x:c r="A15" s="2" t="inlineStr">
        <x:is>
          <x:t xml:space="preserve">DEF</x:t>
        </x:is>
      </x:c>
      <x:c r="B15" s="13">
        <x:f>INDEX(Sample_Builds!$Q$3:$Q$6,MATCH($B$3,Sample_Builds!$A$3:$A$6,0))</x:f>
        <x:v>4</x:v>
      </x:c>
      <x:c r="C15" s="4" t="n"/>
      <x:c r="D15" s="4" t="n"/>
      <x:c r="E15" s="2" t="inlineStr">
        <x:is>
          <x:t xml:space="preserve">DEF</x:t>
        </x:is>
      </x:c>
      <x:c r="F15" s="13">
        <x:f>INDEX(Sample_Builds!$Q$3:$Q$6,MATCH($B$4,Sample_Builds!$A$3:$A$6,0))</x:f>
        <x:v>10</x:v>
      </x:c>
      <x:c r="G15" s="4" t="n"/>
    </x:row>
    <x:row r="16" ht="24" customHeight="1">
      <x:c r="A16" s="2" t="inlineStr">
        <x:is>
          <x:t xml:space="preserve">SPD</x:t>
        </x:is>
      </x:c>
      <x:c r="B16" s="13">
        <x:f>INDEX(Sample_Builds!$R$3:$R$6,MATCH($B$3,Sample_Builds!$A$3:$A$6,0))</x:f>
        <x:v>8</x:v>
      </x:c>
      <x:c r="C16" s="4" t="n"/>
      <x:c r="D16" s="4" t="n"/>
      <x:c r="E16" s="2" t="inlineStr">
        <x:is>
          <x:t xml:space="preserve">SPD</x:t>
        </x:is>
      </x:c>
      <x:c r="F16" s="13">
        <x:f>INDEX(Sample_Builds!$R$3:$R$6,MATCH($B$4,Sample_Builds!$A$3:$A$6,0))</x:f>
        <x:v>3</x:v>
      </x:c>
      <x:c r="G16" s="4" t="n"/>
    </x:row>
    <x:row r="17" ht="24" customHeight="1">
      <x:c r="A17" s="2" t="inlineStr">
        <x:is>
          <x:t xml:space="preserve">SKL</x:t>
        </x:is>
      </x:c>
      <x:c r="B17" s="13">
        <x:f>INDEX(Sample_Builds!$S$3:$S$6,MATCH($B$3,Sample_Builds!$A$3:$A$6,0))</x:f>
        <x:v>9</x:v>
      </x:c>
      <x:c r="C17" s="4" t="n"/>
      <x:c r="D17" s="4" t="n"/>
      <x:c r="E17" s="2" t="inlineStr">
        <x:is>
          <x:t xml:space="preserve">SKL</x:t>
        </x:is>
      </x:c>
      <x:c r="F17" s="13">
        <x:f>INDEX(Sample_Builds!$S$3:$S$6,MATCH($B$4,Sample_Builds!$A$3:$A$6,0))</x:f>
        <x:v>5</x:v>
      </x:c>
      <x:c r="G17" s="4" t="n"/>
    </x:row>
    <x:row r="18" ht="24" customHeight="1">
      <x:c r="A18" s="2" t="inlineStr">
        <x:is>
          <x:t xml:space="preserve">TotalHitModPct</x:t>
        </x:is>
      </x:c>
      <x:c r="B18" s="14">
        <x:f>INDEX(Sample_Builds!$T$3:$T$6,MATCH($B$3,Sample_Builds!$A$3:$A$6,0))</x:f>
        <x:v>0.1</x:v>
      </x:c>
      <x:c r="C18" s="4" t="n"/>
      <x:c r="D18" s="4" t="n"/>
      <x:c r="E18" s="2" t="inlineStr">
        <x:is>
          <x:t xml:space="preserve">TotalHitModPct</x:t>
        </x:is>
      </x:c>
      <x:c r="F18" s="14">
        <x:f>INDEX(Sample_Builds!$T$3:$T$6,MATCH($B$4,Sample_Builds!$A$3:$A$6,0))</x:f>
        <x:v>0</x:v>
      </x:c>
      <x:c r="G18" s="4" t="n"/>
    </x:row>
    <x:row r="19" ht="24" customHeight="1">
      <x:c r="A19" s="2" t="inlineStr">
        <x:is>
          <x:t xml:space="preserve">TotalCritModPct</x:t>
        </x:is>
      </x:c>
      <x:c r="B19" s="14">
        <x:f>INDEX(Sample_Builds!$U$3:$U$6,MATCH($B$3,Sample_Builds!$A$3:$A$6,0))</x:f>
        <x:v>0</x:v>
      </x:c>
      <x:c r="C19" s="4" t="n"/>
      <x:c r="D19" s="4" t="n"/>
      <x:c r="E19" s="2" t="inlineStr">
        <x:is>
          <x:t xml:space="preserve">TotalCritModPct</x:t>
        </x:is>
      </x:c>
      <x:c r="F19" s="14">
        <x:f>INDEX(Sample_Builds!$U$3:$U$6,MATCH($B$4,Sample_Builds!$A$3:$A$6,0))</x:f>
        <x:v>0</x:v>
      </x:c>
      <x:c r="G19" s="4" t="n"/>
    </x:row>
    <x:row r="20">
      <x:c r="A20" s="4" t="n"/>
      <x:c r="B20" s="4" t="n"/>
      <x:c r="C20" s="4" t="n"/>
      <x:c r="D20" s="4" t="n"/>
      <x:c r="E20" s="4" t="n"/>
      <x:c r="F20" s="4" t="n"/>
      <x:c r="G20" s="4" t="n"/>
    </x:row>
    <x:row r="21">
      <x:c r="A21" s="1" t="inlineStr">
        <x:is>
          <x:t xml:space="preserve">SKILL SNAPSHOT</x:t>
        </x:is>
      </x:c>
      <x:c r="B21" s="1" t="n"/>
      <x:c r="C21" s="1" t="n"/>
      <x:c r="D21" s="4" t="n"/>
      <x:c r="E21" s="1" t="inlineStr">
        <x:is>
          <x:t xml:space="preserve">DERIVED COMBAT OUTPUTS</x:t>
        </x:is>
      </x:c>
      <x:c r="F21" s="1" t="n"/>
      <x:c r="G21" s="1" t="n"/>
    </x:row>
    <x:row r="22" ht="24" customHeight="1">
      <x:c r="A22" s="2" t="inlineStr">
        <x:is>
          <x:t xml:space="preserve">DisplayName</x:t>
        </x:is>
      </x:c>
      <x:c r="B22" s="15" t="str">
        <x:f>INDEX(Skills!$B$3:$B$8,MATCH($B$5,Skills!$A$3:$A$8,0))</x:f>
        <x:v>Basic Attack</x:v>
      </x:c>
      <x:c r="C22" s="4" t="n"/>
      <x:c r="D22" s="4" t="n"/>
      <x:c r="E22" s="2" t="inlineStr">
        <x:is>
          <x:t xml:space="preserve">RawHitChance</x:t>
        </x:is>
      </x:c>
      <x:c r="F22" s="14">
        <x:f>INDEX(Controls!$B$3:$B$19,MATCH("BaseHitChance",Controls!$A$3:$A$19,0)) + (($B$14 - $F$16) * INDEX(Controls!$B$3:$B$19,MATCH("HitDeltaPerPoint",Controls!$A$3:$A$19,0))) + $B$24 + IF($B$5="NET_THROW",$B$18,0)</x:f>
        <x:v>0.7999999999999999</x:v>
      </x:c>
      <x:c r="G22" s="4" t="n"/>
    </x:row>
    <x:row r="23" ht="24" customHeight="1">
      <x:c r="A23" s="2" t="inlineStr">
        <x:is>
          <x:t xml:space="preserve">StaCost</x:t>
        </x:is>
      </x:c>
      <x:c r="B23" s="13">
        <x:f>INDEX(Skills!$D$3:$D$8,MATCH($B$5,Skills!$A$3:$A$8,0))</x:f>
        <x:v>2</x:v>
      </x:c>
      <x:c r="C23" s="4" t="n"/>
      <x:c r="D23" s="4" t="n"/>
      <x:c r="E23" s="2" t="inlineStr">
        <x:is>
          <x:t xml:space="preserve">DodgePenalty</x:t>
        </x:is>
      </x:c>
      <x:c r="F23" s="14">
        <x:f>IF(($F$16-$B$16)&gt;=5,INDEX(Controls!$B$3:$B$19,MATCH("DodgeBonusIfDefenderSpdLeadGTE5",Controls!$A$3:$A$19,0)),0)</x:f>
        <x:v>0</x:v>
      </x:c>
      <x:c r="G23" s="4" t="n"/>
    </x:row>
    <x:row r="24" ht="24" customHeight="1">
      <x:c r="A24" s="2" t="inlineStr">
        <x:is>
          <x:t xml:space="preserve">AccuracyModPct</x:t>
        </x:is>
      </x:c>
      <x:c r="B24" s="14">
        <x:f>INDEX(Skills!$E$3:$E$8,MATCH($B$5,Skills!$A$3:$A$8,0))</x:f>
        <x:v>0</x:v>
      </x:c>
      <x:c r="C24" s="4" t="n"/>
      <x:c r="D24" s="4" t="n"/>
      <x:c r="E24" s="2" t="inlineStr">
        <x:is>
          <x:t xml:space="preserve">FinalHitChance</x:t>
        </x:is>
      </x:c>
      <x:c r="F24" s="14">
        <x:f>MIN(INDEX(Controls!$B$3:$B$19,MATCH("MaxHitChance",Controls!$A$3:$A$19,0)),MAX(INDEX(Controls!$B$3:$B$19,MATCH("MinHitChance",Controls!$A$3:$A$19,0)),$F$22-$F$23))</x:f>
        <x:v>0.7999999999999999</x:v>
      </x:c>
      <x:c r="G24" s="4" t="n"/>
    </x:row>
    <x:row r="25" ht="24" customHeight="1">
      <x:c r="A25" s="2" t="inlineStr">
        <x:is>
          <x:t xml:space="preserve">FlatDamage</x:t>
        </x:is>
      </x:c>
      <x:c r="B25" s="13">
        <x:f>INDEX(Skills!$F$3:$F$8,MATCH($B$5,Skills!$A$3:$A$8,0))</x:f>
        <x:v>0</x:v>
      </x:c>
      <x:c r="C25" s="4" t="n"/>
      <x:c r="D25" s="4" t="n"/>
      <x:c r="E25" s="2" t="inlineStr">
        <x:is>
          <x:t xml:space="preserve">CritChance</x:t>
        </x:is>
      </x:c>
      <x:c r="F25" s="14">
        <x:f>MIN(INDEX(Controls!$B$3:$B$19,MATCH("CritChanceCap",Controls!$A$3:$A$19,0)),INDEX(Controls!$B$3:$B$19,MATCH("BaseCritChance",Controls!$A$3:$A$19,0))+($B$17*INDEX(Controls!$B$3:$B$19,MATCH("CritPerSKL",Controls!$A$3:$A$19,0)))+$B$26+$B$19)</x:f>
        <x:v>0.14</x:v>
      </x:c>
      <x:c r="G25" s="4" t="n"/>
    </x:row>
    <x:row r="26" ht="24" customHeight="1">
      <x:c r="A26" s="2" t="inlineStr">
        <x:is>
          <x:t xml:space="preserve">CritBonusPct</x:t>
        </x:is>
      </x:c>
      <x:c r="B26" s="14">
        <x:f>INDEX(Skills!$G$3:$G$8,MATCH($B$5,Skills!$A$3:$A$8,0))</x:f>
        <x:v>0</x:v>
      </x:c>
      <x:c r="C26" s="4" t="n"/>
      <x:c r="D26" s="4" t="n"/>
      <x:c r="E26" s="2" t="inlineStr">
        <x:is>
          <x:t xml:space="preserve">BaseDamage</x:t>
        </x:is>
      </x:c>
      <x:c r="F26" s="16">
        <x:f>MAX(INDEX(Controls!$B$3:$B$19,MATCH("MinDamage",Controls!$A$3:$A$19,0)),$B$14+$B$25-($F$15+$B$6))</x:f>
        <x:v>1</x:v>
      </x:c>
      <x:c r="G26" s="4" t="n"/>
    </x:row>
    <x:row r="27" ht="24" customHeight="1">
      <x:c r="A27" s="2" t="inlineStr">
        <x:is>
          <x:t xml:space="preserve">ApplyStatusID</x:t>
        </x:is>
      </x:c>
      <x:c r="B27" s="15">
        <x:f>INDEX(Skills!$I$3:$I$8,MATCH($B$5,Skills!$A$3:$A$8,0))</x:f>
      </x:c>
      <x:c r="C27" s="4" t="n"/>
      <x:c r="D27" s="4" t="n"/>
      <x:c r="E27" s="2" t="inlineStr">
        <x:is>
          <x:t xml:space="preserve">CritDamage</x:t>
        </x:is>
      </x:c>
      <x:c r="F27" s="16">
        <x:f>$F$26*INDEX(Controls!$B$3:$B$19,MATCH("CritMultiplier",Controls!$A$3:$A$19,0))</x:f>
        <x:v>2</x:v>
      </x:c>
      <x:c r="G27" s="4" t="n"/>
    </x:row>
    <x:row r="28" ht="24" customHeight="1">
      <x:c r="A28" s="2" t="inlineStr">
        <x:is>
          <x:t xml:space="preserve">StatusTurns</x:t>
        </x:is>
      </x:c>
      <x:c r="B28" s="13">
        <x:f>INDEX(Skills!$J$3:$J$8,MATCH($B$5,Skills!$A$3:$A$8,0))</x:f>
        <x:v>0</x:v>
      </x:c>
      <x:c r="C28" s="4" t="n"/>
      <x:c r="D28" s="4" t="n"/>
      <x:c r="E28" s="2" t="inlineStr">
        <x:is>
          <x:t xml:space="preserve">ExpectedDamage</x:t>
        </x:is>
      </x:c>
      <x:c r="F28" s="16">
        <x:f>$F$24*(($F$26*(1-$F$25))+($F$27*$F$25))</x:f>
        <x:v>0.912</x:v>
      </x:c>
      <x:c r="G28" s="4" t="n"/>
    </x:row>
    <x:row r="29" ht="24" customHeight="1">
      <x:c r="A29" s="2" t="inlineStr">
        <x:is>
          <x:t xml:space="preserve">CooldownTurns</x:t>
        </x:is>
      </x:c>
      <x:c r="B29" s="13">
        <x:f>INDEX(Skills!$K$3:$K$8,MATCH($B$5,Skills!$A$3:$A$8,0))</x:f>
        <x:v>0</x:v>
      </x:c>
      <x:c r="C29" s="4" t="n"/>
      <x:c r="D29" s="4" t="n"/>
      <x:c r="E29" s="2" t="inlineStr">
        <x:is>
          <x:t xml:space="preserve">StaAfterAction</x:t>
        </x:is>
      </x:c>
      <x:c r="F29" s="16">
        <x:f>MAX(0,$B$7-$B$23)</x:f>
        <x:v>8</x:v>
      </x:c>
      <x:c r="G29" s="4" t="n"/>
    </x:row>
    <x:row r="30" ht="24" customHeight="1">
      <x:c r="A30" s="2" t="inlineStr">
        <x:is>
          <x:t xml:space="preserve">SelfDefMod</x:t>
        </x:is>
      </x:c>
      <x:c r="B30" s="13">
        <x:f>INDEX(Skills!$H$3:$H$8,MATCH($B$5,Skills!$A$3:$A$8,0))</x:f>
        <x:v>0</x:v>
      </x:c>
      <x:c r="C30" s="4" t="n"/>
      <x:c r="D30" s="4" t="n"/>
      <x:c r="E30" s="2" t="inlineStr">
        <x:is>
          <x:t xml:space="preserve">StaAfterRecover</x:t>
        </x:is>
      </x:c>
      <x:c r="F30" s="16">
        <x:f>MIN($B$13,$F$29+INDEX(Controls!$B$3:$B$19,MATCH("RecoverBonusStamina",Controls!$A$3:$A$19,0)))</x:f>
        <x:v>10</x:v>
      </x:c>
      <x:c r="G30" s="4" t="n"/>
    </x:row>
    <x:row r="31">
      <x:c r="A31" s="4" t="n"/>
      <x:c r="B31" s="4" t="n"/>
      <x:c r="C31" s="4" t="n"/>
      <x:c r="D31" s="4" t="n"/>
      <x:c r="E31" s="2" t="inlineStr">
        <x:is>
          <x:t xml:space="preserve">AppliedStatus</x:t>
        </x:is>
      </x:c>
      <x:c r="F31" s="3">
        <x:f>IF($B$27="","",CONCAT($B$27," for ",$B$28," turn(s)"))</x:f>
      </x:c>
      <x:c r="G31" s="4" t="n"/>
    </x:row>
    <x:row r="32">
      <x:c r="A32" s="4" t="n"/>
      <x:c r="B32" s="4" t="n"/>
      <x:c r="C32" s="4" t="n"/>
      <x:c r="D32" s="4" t="n"/>
      <x:c r="E32" s="4" t="n"/>
      <x:c r="F32" s="4" t="n"/>
      <x:c r="G32" s="4" t="n"/>
    </x:row>
    <x:row r="33" ht="38" customHeight="1">
      <x:c r="A33" s="9" t="inlineStr">
        <x:is>
          <x:t xml:space="preserve">Starter check: RET_STARTER using BASIC_ATTACK into SEC_STARTER should land near the top of the Tier 1 hit band. Switch Selected SkillID to NET_THROW to verify conditional net accuracy and status application.</x:t>
        </x:is>
      </x:c>
    </x:row>
  </x:sheetData>
  <x:mergeCells>
    <x:mergeCell ref="A33:G33"/>
  </x:mergeCells>
  <x:dataValidations count="2">
    <x:dataValidation type="list" allowBlank="0" showDropDown="0" showInputMessage="0" showErrorMessage="0" sqref="B3 B4">
      <x:formula1>Sample_Builds!$A$3:$A$6</x:formula1>
    </x:dataValidation>
    <x:dataValidation type="list" allowBlank="0" showDropDown="0" showInputMessage="0" showErrorMessage="0" sqref="B5">
      <x:formula1>Skills!$A$3:$A$8</x:formula1>
    </x:dataValidation>
  </x:dataValidations>
  <x:pageMargins left="0.7" right="0.7" top="0.75" bottom="0.75" header="0.3" footer="0.3"/>
  <x:legacyDrawing xmlns:r="http://schemas.openxmlformats.org/officeDocument/2006/relationships" r:id="R102df0deeace44ef"/>
</x:worksheet>
</file>